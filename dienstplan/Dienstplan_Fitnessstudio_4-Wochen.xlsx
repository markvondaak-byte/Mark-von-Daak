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Woche 1" sheetId="2" state="visible" r:id="rId4"/>
    <sheet name="Woche 2" sheetId="3" state="visible" r:id="rId5"/>
    <sheet name="Woche 3" sheetId="4" state="visible" r:id="rId6"/>
    <sheet name="Woche 4" sheetId="5" state="visible" r:id="rId7"/>
    <sheet name="Stundenkonto" sheetId="6" state="visible" r:id="rId8"/>
    <sheet name="Besetzung" sheetId="7" state="visible" r:id="rId9"/>
    <sheet name="Schichtlegen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<sst xmlns="http://schemas.openxmlformats.org/spreadsheetml/2006/main" count="510" uniqueCount="203">
  <si>
    <t xml:space="preserve">Dienstplan Fitnessstudio — 4-Wochen-Rotation</t>
  </si>
  <si>
    <t xml:space="preserve">Rollierender Plan. Nach Woche 4 beginnt wieder Woche 1.</t>
  </si>
  <si>
    <t xml:space="preserve">Öffnungszeiten</t>
  </si>
  <si>
    <t xml:space="preserve">von</t>
  </si>
  <si>
    <t xml:space="preserve">bis</t>
  </si>
  <si>
    <t xml:space="preserve">Öffnungsstunden</t>
  </si>
  <si>
    <t xml:space="preserve">Mo</t>
  </si>
  <si>
    <t xml:space="preserve">06:00</t>
  </si>
  <si>
    <t xml:space="preserve">22:00</t>
  </si>
  <si>
    <t xml:space="preserve">Di</t>
  </si>
  <si>
    <t xml:space="preserve">08:00</t>
  </si>
  <si>
    <t xml:space="preserve">24:00</t>
  </si>
  <si>
    <t xml:space="preserve">Mi</t>
  </si>
  <si>
    <t xml:space="preserve">Do</t>
  </si>
  <si>
    <t xml:space="preserve">Fr</t>
  </si>
  <si>
    <t xml:space="preserve">Sa</t>
  </si>
  <si>
    <t xml:space="preserve">09:00</t>
  </si>
  <si>
    <t xml:space="preserve">20:00</t>
  </si>
  <si>
    <t xml:space="preserve">So</t>
  </si>
  <si>
    <t xml:space="preserve">Summe Öffnung je Woche</t>
  </si>
  <si>
    <t xml:space="preserve">Team</t>
  </si>
  <si>
    <t xml:space="preserve">Vertrag</t>
  </si>
  <si>
    <t xml:space="preserve">Std./Woche</t>
  </si>
  <si>
    <t xml:space="preserve">Rolle im Plan</t>
  </si>
  <si>
    <t xml:space="preserve">VZ 1 — Studioleitung</t>
  </si>
  <si>
    <t xml:space="preserve">Vollzeit</t>
  </si>
  <si>
    <t xml:space="preserve">Trägt Früh- bzw. Spätwoche, Bürozeit, Wochenende alle 4 Wochen</t>
  </si>
  <si>
    <t xml:space="preserve">VZ 2 — Trainer/in</t>
  </si>
  <si>
    <t xml:space="preserve">TZ 1 — Trainer/in</t>
  </si>
  <si>
    <t xml:space="preserve">Teilzeit</t>
  </si>
  <si>
    <t xml:space="preserve">Zwischendienste, eine volle Schicht, Wochenende jede 2. Woche</t>
  </si>
  <si>
    <t xml:space="preserve">TZ 2 — Trainer/in</t>
  </si>
  <si>
    <t xml:space="preserve">MJ — Aushilfe Theke</t>
  </si>
  <si>
    <t xml:space="preserve">Minijob</t>
  </si>
  <si>
    <t xml:space="preserve">Zwei feste Abenddienste je Woche, kein Wochenenddienst</t>
  </si>
  <si>
    <t xml:space="preserve">Kennzahlen</t>
  </si>
  <si>
    <t xml:space="preserve">Wert</t>
  </si>
  <si>
    <t xml:space="preserve">Erläuterung</t>
  </si>
  <si>
    <t xml:space="preserve">Öffnungsstunden je Woche</t>
  </si>
  <si>
    <t xml:space="preserve">Mo/Mi/Fr 16 h, Di/Do 16 h, Sa/So 11 h</t>
  </si>
  <si>
    <t xml:space="preserve">Geplante Arbeitsstunden je Woche</t>
  </si>
  <si>
    <t xml:space="preserve">Durchschnitt über die vier Wochen, inkl. Büro- und Aufgabenblöcken</t>
  </si>
  <si>
    <t xml:space="preserve">Vertragsstunden je Woche</t>
  </si>
  <si>
    <t xml:space="preserve">2 × 40 h + 2 × 20 h + 9 h Minijob</t>
  </si>
  <si>
    <t xml:space="preserve">Doppelbesetzung abends</t>
  </si>
  <si>
    <t xml:space="preserve">Zwischendienst an fünf Werktagen zur Hauptlastzeit</t>
  </si>
  <si>
    <t xml:space="preserve">Minijob-Stunden je Monat</t>
  </si>
  <si>
    <t xml:space="preserve">9,0 h/Woche × 13/3 — gesetzlicher Umrechnungsfaktor</t>
  </si>
  <si>
    <t xml:space="preserve">Minijob-Entgelt je Monat</t>
  </si>
  <si>
    <t xml:space="preserve">bei 13.90 €/h; Geringfügigkeitsgrenze 2026: 603 €</t>
  </si>
  <si>
    <t xml:space="preserve">Annahmen — bitte prüfen und bei Bedarf anpassen</t>
  </si>
  <si>
    <t xml:space="preserve">•</t>
  </si>
  <si>
    <t xml:space="preserve">Wochenstunden Teilzeit mit je 20 h angesetzt (nicht vorgegeben).</t>
  </si>
  <si>
    <t xml:space="preserve">Minijob mit 9,0 h/Woche angesetzt, damit die Geringfügigkeitsgrenze auch in Monaten mit fünf Abrechnungswochen sicher eingehalten wird.</t>
  </si>
  <si>
    <t xml:space="preserve">Mindestbesetzung: eine Person während der gesamten Öffnungszeit, abends zusätzlich ein Zwischendienst.</t>
  </si>
  <si>
    <t xml:space="preserve">Pausen: 30 min ab mehr als 6 h, 60 min beim Wochenend-Tagesdienst. Pausen sind unbezahlt und in den Stunden bereits abgezogen.</t>
  </si>
  <si>
    <t xml:space="preserve">Urlaub, Krankheit und Feiertage sind nicht eingerechnet — dafür ist der Puffer im Blatt Stundenkonto vorgesehen.</t>
  </si>
  <si>
    <t xml:space="preserve">Kurse, Reinigung durch Dienstleister und Buchhaltung sind nicht abgebildet.</t>
  </si>
  <si>
    <t xml:space="preserve">Woche 1 — VZ 1 Frühwoche · VZ 2 Spätwoche · Wochenende TZ 1 / TZ 2</t>
  </si>
  <si>
    <t xml:space="preserve">Zeiten sind Anwesenheitszeiten; die Pause ist in den Stunden bereits abgezogen.</t>
  </si>
  <si>
    <t xml:space="preserve">Mitarbeiter/in</t>
  </si>
  <si>
    <t xml:space="preserve">Mo
06:00–22:00</t>
  </si>
  <si>
    <t xml:space="preserve">Di
08:00–24:00</t>
  </si>
  <si>
    <t xml:space="preserve">Mi
06:00–22:00</t>
  </si>
  <si>
    <t xml:space="preserve">Do
08:00–24:00</t>
  </si>
  <si>
    <t xml:space="preserve">Fr
06:00–22:00</t>
  </si>
  <si>
    <t xml:space="preserve">Sa
09:00–20:00</t>
  </si>
  <si>
    <t xml:space="preserve">So
09:00–20:00</t>
  </si>
  <si>
    <t xml:space="preserve">Ist-Std.</t>
  </si>
  <si>
    <t xml:space="preserve">06:00–14:30  F</t>
  </si>
  <si>
    <t xml:space="preserve">08:00–16:30  F</t>
  </si>
  <si>
    <t xml:space="preserve">06:00–14:30  F
14:30–15:30  B</t>
  </si>
  <si>
    <t xml:space="preserve">frei</t>
  </si>
  <si>
    <t xml:space="preserve">12:30–13:30  B
13:30–22:00  S</t>
  </si>
  <si>
    <t xml:space="preserve">15:30–24:00  S</t>
  </si>
  <si>
    <t xml:space="preserve">13:30–22:00  S</t>
  </si>
  <si>
    <t xml:space="preserve">12:30–16:00  V
16:30–21:00  Z</t>
  </si>
  <si>
    <t xml:space="preserve">15:00–16:30  P
16:30–21:00  Z</t>
  </si>
  <si>
    <t xml:space="preserve">09:00–20:00  T</t>
  </si>
  <si>
    <t xml:space="preserve">16:00–17:30  P
17:30–22:00  Z</t>
  </si>
  <si>
    <t xml:space="preserve">16:30–21:00  Z</t>
  </si>
  <si>
    <t xml:space="preserve">17:30–22:00  Z</t>
  </si>
  <si>
    <t xml:space="preserve">Arbeitsstunden je Tag</t>
  </si>
  <si>
    <t xml:space="preserve">Soll</t>
  </si>
  <si>
    <t xml:space="preserve">Summe</t>
  </si>
  <si>
    <t xml:space="preserve">Summe Studio</t>
  </si>
  <si>
    <t xml:space="preserve">Besetzte Personen je Tag</t>
  </si>
  <si>
    <t xml:space="preserve">Woche 2 — VZ 2 Frühwoche · VZ 1 Spätwoche · Wochenende TZ 2 / TZ 1</t>
  </si>
  <si>
    <t xml:space="preserve">Woche 3 — Wochenenddienst der Vollzeitkräfte (VZ 2 Sa / VZ 1 So)</t>
  </si>
  <si>
    <t xml:space="preserve">14:30–15:30  B
15:30–24:00  S</t>
  </si>
  <si>
    <t xml:space="preserve">Woche 4 — Wochenenddienst der Vollzeitkräfte (VZ 1 Sa / VZ 2 So)</t>
  </si>
  <si>
    <t xml:space="preserve">Stundenkonto — vier Wochen</t>
  </si>
  <si>
    <t xml:space="preserve">Alle Werte holen sich die Zahlen aus den Wochenblättern. Ändert sich dort eine Schicht, ändert sich hier die Summe.</t>
  </si>
  <si>
    <t xml:space="preserve">Woche 1</t>
  </si>
  <si>
    <t xml:space="preserve">Woche 2</t>
  </si>
  <si>
    <t xml:space="preserve">Woche 3</t>
  </si>
  <si>
    <t xml:space="preserve">Woche 4</t>
  </si>
  <si>
    <t xml:space="preserve">Ist gesamt</t>
  </si>
  <si>
    <t xml:space="preserve">Soll gesamt</t>
  </si>
  <si>
    <t xml:space="preserve">Konto</t>
  </si>
  <si>
    <t xml:space="preserve">Hinweis</t>
  </si>
  <si>
    <t xml:space="preserve">Vier Wochen genau auf Vertragssoll.</t>
  </si>
  <si>
    <t xml:space="preserve">+0,5 h wandern ins Gleitzeitkonto.</t>
  </si>
  <si>
    <t xml:space="preserve">36 h je vier Wochen; 39,0 h im Monatsschnitt.</t>
  </si>
  <si>
    <t xml:space="preserve">Minijob-Kontrolle</t>
  </si>
  <si>
    <t xml:space="preserve">Stunden je Woche (Schnitt)</t>
  </si>
  <si>
    <t xml:space="preserve">Ist gesamt geteilt durch vier Wochen</t>
  </si>
  <si>
    <t xml:space="preserve">Umrechnungsfaktor Woche → Monat</t>
  </si>
  <si>
    <t xml:space="preserve">13/3, gesetzlicher Faktor</t>
  </si>
  <si>
    <t xml:space="preserve">Stunden je Monat</t>
  </si>
  <si>
    <t xml:space="preserve">Grundlage der Entgeltrechnung</t>
  </si>
  <si>
    <t xml:space="preserve">Stundenlohn</t>
  </si>
  <si>
    <t xml:space="preserve">gesetzlicher Mindestlohn ab 01.01.2026</t>
  </si>
  <si>
    <t xml:space="preserve">Entgelt je Monat</t>
  </si>
  <si>
    <t xml:space="preserve">muss unter der Geringfügigkeitsgrenze bleiben</t>
  </si>
  <si>
    <t xml:space="preserve">Geringfügigkeitsgrenze 2026</t>
  </si>
  <si>
    <t xml:space="preserve">603 € entsprechen 43,38 h bei 13,90 €/h</t>
  </si>
  <si>
    <t xml:space="preserve">Abstand zur Grenze</t>
  </si>
  <si>
    <t xml:space="preserve">positiver Wert = Puffer</t>
  </si>
  <si>
    <t xml:space="preserve">Besetzungsstärke im Tagesverlauf</t>
  </si>
  <si>
    <t xml:space="preserve">Anzahl Personen im Thekendienst je halber Stunde. Das Raster ist in allen vier Wochen identisch — die Rotation tauscht nur, wer die Schicht übernimmt.</t>
  </si>
  <si>
    <t xml:space="preserve">Uhrzeit</t>
  </si>
  <si>
    <t xml:space="preserve">06:00–06:30</t>
  </si>
  <si>
    <t xml:space="preserve">06:30–07:00</t>
  </si>
  <si>
    <t xml:space="preserve">07:00–07:30</t>
  </si>
  <si>
    <t xml:space="preserve">07:30–08:00</t>
  </si>
  <si>
    <t xml:space="preserve">08:00–08:30</t>
  </si>
  <si>
    <t xml:space="preserve">08:30–09:00</t>
  </si>
  <si>
    <t xml:space="preserve">09:00–09:30</t>
  </si>
  <si>
    <t xml:space="preserve">09:30–10:00</t>
  </si>
  <si>
    <t xml:space="preserve">10:00–10:30</t>
  </si>
  <si>
    <t xml:space="preserve">10:30–11:00</t>
  </si>
  <si>
    <t xml:space="preserve">11:00–11:30</t>
  </si>
  <si>
    <t xml:space="preserve">11:30–12:00</t>
  </si>
  <si>
    <t xml:space="preserve">12:00–12:30</t>
  </si>
  <si>
    <t xml:space="preserve">12:30–13:00</t>
  </si>
  <si>
    <t xml:space="preserve">13:00–13:30</t>
  </si>
  <si>
    <t xml:space="preserve">13:30–14:00</t>
  </si>
  <si>
    <t xml:space="preserve">14:00–14:30</t>
  </si>
  <si>
    <t xml:space="preserve">14:30–15:00</t>
  </si>
  <si>
    <t xml:space="preserve">15:00–15:30</t>
  </si>
  <si>
    <t xml:space="preserve">15:30–16:00</t>
  </si>
  <si>
    <t xml:space="preserve">16:00–16:30</t>
  </si>
  <si>
    <t xml:space="preserve">16:30–17:00</t>
  </si>
  <si>
    <t xml:space="preserve">17:00–17:30</t>
  </si>
  <si>
    <t xml:space="preserve">17:30–18:00</t>
  </si>
  <si>
    <t xml:space="preserve">18:00–18:30</t>
  </si>
  <si>
    <t xml:space="preserve">18:30–19:00</t>
  </si>
  <si>
    <t xml:space="preserve">19:00–19:30</t>
  </si>
  <si>
    <t xml:space="preserve">19:30–20:00</t>
  </si>
  <si>
    <t xml:space="preserve">20:00–20:30</t>
  </si>
  <si>
    <t xml:space="preserve">20:30–21:00</t>
  </si>
  <si>
    <t xml:space="preserve">21:00–21:30</t>
  </si>
  <si>
    <t xml:space="preserve">21:30–22:00</t>
  </si>
  <si>
    <t xml:space="preserve">22:00–22:30</t>
  </si>
  <si>
    <t xml:space="preserve">22:30–23:00</t>
  </si>
  <si>
    <t xml:space="preserve">23:00–23:30</t>
  </si>
  <si>
    <t xml:space="preserve">23:30–24:00</t>
  </si>
  <si>
    <t xml:space="preserve">Leer = geschlossen · 1 = Grundbesetzung · 2 = Doppelbesetzung zur Hauptlastzeit</t>
  </si>
  <si>
    <t xml:space="preserve">Schichtlegende</t>
  </si>
  <si>
    <t xml:space="preserve">Die Zeiten hängen vom Tag ab, weil das Studio unterschiedlich lange geöffnet hat.</t>
  </si>
  <si>
    <t xml:space="preserve">Code</t>
  </si>
  <si>
    <t xml:space="preserve">Schicht</t>
  </si>
  <si>
    <t xml:space="preserve">Mo / Mi / Fr</t>
  </si>
  <si>
    <t xml:space="preserve">Di / Do</t>
  </si>
  <si>
    <t xml:space="preserve">Sa / So</t>
  </si>
  <si>
    <t xml:space="preserve">Arbeitszeit</t>
  </si>
  <si>
    <t xml:space="preserve">F</t>
  </si>
  <si>
    <t xml:space="preserve">Frühdienst</t>
  </si>
  <si>
    <t xml:space="preserve">06:00–14:30  (0,5 h Pause)</t>
  </si>
  <si>
    <t xml:space="preserve">08:00–16:30  (0,5 h Pause)</t>
  </si>
  <si>
    <t xml:space="preserve">—</t>
  </si>
  <si>
    <t xml:space="preserve">S</t>
  </si>
  <si>
    <t xml:space="preserve">Spätdienst</t>
  </si>
  <si>
    <t xml:space="preserve">13:30–22:00  (0,5 h Pause)</t>
  </si>
  <si>
    <t xml:space="preserve">15:30–24:00  (0,5 h Pause)</t>
  </si>
  <si>
    <t xml:space="preserve">Z</t>
  </si>
  <si>
    <t xml:space="preserve">Zwischendienst</t>
  </si>
  <si>
    <t xml:space="preserve">16:30–21:00  (0,0 h Pause)</t>
  </si>
  <si>
    <t xml:space="preserve">17:30–22:00  (0,0 h Pause)</t>
  </si>
  <si>
    <t xml:space="preserve">T</t>
  </si>
  <si>
    <t xml:space="preserve">Tagesdienst</t>
  </si>
  <si>
    <t xml:space="preserve">09:00–20:00  (1,0 h Pause)</t>
  </si>
  <si>
    <t xml:space="preserve">Zusatzblöcke ohne Thekendienst</t>
  </si>
  <si>
    <t xml:space="preserve">Block</t>
  </si>
  <si>
    <t xml:space="preserve">Lage</t>
  </si>
  <si>
    <t xml:space="preserve">Dauer</t>
  </si>
  <si>
    <t xml:space="preserve">B</t>
  </si>
  <si>
    <t xml:space="preserve">Bürozeit</t>
  </si>
  <si>
    <t xml:space="preserve">direkt im Anschluss an den Frühdienst bzw. vor dem Spätdienst</t>
  </si>
  <si>
    <t xml:space="preserve">P</t>
  </si>
  <si>
    <t xml:space="preserve">Studioaufgaben</t>
  </si>
  <si>
    <t xml:space="preserve">unmittelbar vor dem Zwischendienst — Probetraining, Gerätecheck</t>
  </si>
  <si>
    <t xml:space="preserve">V</t>
  </si>
  <si>
    <t xml:space="preserve">Verwaltung</t>
  </si>
  <si>
    <t xml:space="preserve">großer Büroblock, danach 30 min Pause, dann Zwischendienst</t>
  </si>
  <si>
    <t xml:space="preserve">Regeln, die der Plan einhält</t>
  </si>
  <si>
    <t xml:space="preserve">Ruhezeit: mindestens 11 Stunden zwischen zwei Diensten (§ 5 ArbZG). Deshalb folgt auf einen Spätdienst nie ein Frühdienst am nächsten Tag.</t>
  </si>
  <si>
    <t xml:space="preserve">Höchstarbeitszeit: höchstens 10 Stunden am Tag (§ 3 ArbZG); der Wochenend-Tagesdienst nutzt diesen Rahmen aus und wird über den Sechs-Monats-Schnitt auf 8 Stunden ausgeglichen.</t>
  </si>
  <si>
    <t xml:space="preserve">Pausen: 30 Minuten bei mehr als 6 Stunden, 45 Minuten bei mehr als 9 Stunden (§ 4 ArbZG).</t>
  </si>
  <si>
    <t xml:space="preserve">Nachtarbeit: der Spätdienst an Di/Do endet um 24:00 und liegt damit nur eine Stunde in der Nachtzeit — keine Nachtarbeit im Sinne des § 2 Abs. 4 ArbZG.</t>
  </si>
  <si>
    <t xml:space="preserve">Sonntagsarbeit ist im Sportbetrieb zulässig (§ 10 Abs. 1 Nr. 4 ArbZG); der Ersatzruhetag liegt in derselben oder der folgenden Woche.</t>
  </si>
  <si>
    <t xml:space="preserve">Jede Person hat in vier Wochen mindestens zwei vollständig freie Wochenenden.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</si>
</sst>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&quot; h&quot;"/>
    <numFmt numFmtId="166" formatCode="0.00&quot; h&quot;"/>
    <numFmt numFmtId="167" formatCode="#,##0.00&quot; €&quot;"/>
    <numFmt numFmtId="168" formatCode="0.00"/>
    <numFmt numFmtId="169" formatCode="0.00;;\–"/>
    <numFmt numFmtId="170" formatCode="\+0.00;\-0.00;0.00"/>
    <numFmt numFmtId="171" formatCode="0.000"/>
    <numFmt numFmtId="172" formatCode="0;;&quot;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A6A6A6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A6A6A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DEDED"/>
      </patternFill>
    </fill>
    <fill>
      <patternFill patternType="solid">
        <fgColor rgb="FFDCE9F7"/>
        <bgColor rgb="FFEDEDED"/>
      </patternFill>
    </fill>
    <fill>
      <patternFill patternType="solid">
        <fgColor rgb="FFFFFFFF"/>
        <bgColor rgb="FFF2F2F2"/>
      </patternFill>
    </fill>
    <fill>
      <patternFill patternType="solid">
        <fgColor rgb="FFFDE4D0"/>
        <bgColor rgb="FFEDEDED"/>
      </patternFill>
    </fill>
    <fill>
      <patternFill patternType="solid">
        <fgColor rgb="FFE2F0D9"/>
        <bgColor rgb="FFEDEDED"/>
      </patternFill>
    </fill>
    <fill>
      <patternFill patternType="solid">
        <fgColor rgb="FFEADCF5"/>
        <bgColor rgb="FFDCE9F7"/>
      </patternFill>
    </fill>
    <fill>
      <patternFill patternType="solid">
        <fgColor rgb="FF9DC3E6"/>
        <bgColor rgb="FFBFBFBF"/>
      </patternFill>
    </fill>
    <fill>
      <patternFill patternType="solid">
        <fgColor rgb="FFEDEDED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9F7"/>
      <rgbColor rgb="FF660066"/>
      <rgbColor rgb="FFFF8080"/>
      <rgbColor rgb="FF0066CC"/>
      <rgbColor rgb="FFEADC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FF99"/>
      <rgbColor rgb="FF9DC3E6"/>
      <rgbColor rgb="FFFF99CC"/>
      <rgbColor rgb="FFCC99FF"/>
      <rgbColor rgb="FFFDE4D0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4" min="4" style="0" width="46"/>
  </cols>
  <sheetData>
    <row r="1" customFormat="false" ht="32.8" hidden="false" customHeight="false" outlineLevel="0" collapsed="false">
      <c r="A1" s="1" t="s">
        <v>0</v>
      </c>
    </row>
    <row r="2" customFormat="false" ht="22.3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8</v>
      </c>
      <c r="D5" s="6" t="n">
        <v>16</v>
      </c>
    </row>
    <row r="6" customFormat="false" ht="15" hidden="false" customHeight="false" outlineLevel="0" collapsed="false">
      <c r="A6" s="4" t="s">
        <v>9</v>
      </c>
      <c r="B6" s="5" t="s">
        <v>10</v>
      </c>
      <c r="C6" s="5" t="s">
        <v>11</v>
      </c>
      <c r="D6" s="6" t="n">
        <v>16</v>
      </c>
    </row>
    <row r="7" customFormat="false" ht="15" hidden="false" customHeight="false" outlineLevel="0" collapsed="false">
      <c r="A7" s="4" t="s">
        <v>12</v>
      </c>
      <c r="B7" s="5" t="s">
        <v>7</v>
      </c>
      <c r="C7" s="5" t="s">
        <v>8</v>
      </c>
      <c r="D7" s="6" t="n">
        <v>16</v>
      </c>
    </row>
    <row r="8" customFormat="false" ht="15" hidden="false" customHeight="false" outlineLevel="0" collapsed="false">
      <c r="A8" s="4" t="s">
        <v>13</v>
      </c>
      <c r="B8" s="5" t="s">
        <v>10</v>
      </c>
      <c r="C8" s="5" t="s">
        <v>11</v>
      </c>
      <c r="D8" s="6" t="n">
        <v>16</v>
      </c>
    </row>
    <row r="9" customFormat="false" ht="15" hidden="false" customHeight="false" outlineLevel="0" collapsed="false">
      <c r="A9" s="4" t="s">
        <v>14</v>
      </c>
      <c r="B9" s="5" t="s">
        <v>7</v>
      </c>
      <c r="C9" s="5" t="s">
        <v>8</v>
      </c>
      <c r="D9" s="6" t="n">
        <v>16</v>
      </c>
    </row>
    <row r="10" customFormat="false" ht="15" hidden="false" customHeight="false" outlineLevel="0" collapsed="false">
      <c r="A10" s="4" t="s">
        <v>15</v>
      </c>
      <c r="B10" s="5" t="s">
        <v>16</v>
      </c>
      <c r="C10" s="5" t="s">
        <v>17</v>
      </c>
      <c r="D10" s="6" t="n">
        <v>11</v>
      </c>
    </row>
    <row r="11" customFormat="false" ht="15" hidden="false" customHeight="false" outlineLevel="0" collapsed="false">
      <c r="A11" s="4" t="s">
        <v>18</v>
      </c>
      <c r="B11" s="5" t="s">
        <v>16</v>
      </c>
      <c r="C11" s="5" t="s">
        <v>17</v>
      </c>
      <c r="D11" s="6" t="n">
        <v>11</v>
      </c>
    </row>
    <row r="12" customFormat="false" ht="15" hidden="false" customHeight="false" outlineLevel="0" collapsed="false">
      <c r="A12" s="7" t="s">
        <v>19</v>
      </c>
      <c r="B12" s="8"/>
      <c r="C12" s="8"/>
      <c r="D12" s="9" t="n">
        <f aca="false">SUM(D5:D11)</f>
        <v>102</v>
      </c>
    </row>
    <row r="14" customFormat="false" ht="15" hidden="false" customHeight="false" outlineLevel="0" collapsed="false">
      <c r="A14" s="3" t="s">
        <v>20</v>
      </c>
      <c r="B14" s="3" t="s">
        <v>21</v>
      </c>
      <c r="C14" s="3" t="s">
        <v>22</v>
      </c>
      <c r="D14" s="3" t="s">
        <v>23</v>
      </c>
    </row>
    <row r="15" customFormat="false" ht="15" hidden="false" customHeight="false" outlineLevel="0" collapsed="false">
      <c r="A15" s="4" t="s">
        <v>24</v>
      </c>
      <c r="B15" s="5" t="s">
        <v>25</v>
      </c>
      <c r="C15" s="6" t="n">
        <v>40</v>
      </c>
      <c r="D15" s="10" t="s">
        <v>26</v>
      </c>
    </row>
    <row r="16" customFormat="false" ht="15" hidden="false" customHeight="false" outlineLevel="0" collapsed="false">
      <c r="A16" s="4" t="s">
        <v>27</v>
      </c>
      <c r="B16" s="5" t="s">
        <v>25</v>
      </c>
      <c r="C16" s="6" t="n">
        <v>40</v>
      </c>
      <c r="D16" s="10" t="s">
        <v>26</v>
      </c>
    </row>
    <row r="17" customFormat="false" ht="15" hidden="false" customHeight="false" outlineLevel="0" collapsed="false">
      <c r="A17" s="4" t="s">
        <v>28</v>
      </c>
      <c r="B17" s="5" t="s">
        <v>29</v>
      </c>
      <c r="C17" s="6" t="n">
        <v>20</v>
      </c>
      <c r="D17" s="10" t="s">
        <v>30</v>
      </c>
    </row>
    <row r="18" customFormat="false" ht="15" hidden="false" customHeight="false" outlineLevel="0" collapsed="false">
      <c r="A18" s="4" t="s">
        <v>31</v>
      </c>
      <c r="B18" s="5" t="s">
        <v>29</v>
      </c>
      <c r="C18" s="6" t="n">
        <v>20</v>
      </c>
      <c r="D18" s="10" t="s">
        <v>30</v>
      </c>
    </row>
    <row r="19" customFormat="false" ht="15" hidden="false" customHeight="false" outlineLevel="0" collapsed="false">
      <c r="A19" s="4" t="s">
        <v>32</v>
      </c>
      <c r="B19" s="5" t="s">
        <v>33</v>
      </c>
      <c r="C19" s="6" t="n">
        <v>9</v>
      </c>
      <c r="D19" s="10" t="s">
        <v>34</v>
      </c>
    </row>
    <row r="21" customFormat="false" ht="15" hidden="false" customHeight="false" outlineLevel="0" collapsed="false">
      <c r="A21" s="3" t="s">
        <v>35</v>
      </c>
      <c r="B21" s="3" t="s">
        <v>36</v>
      </c>
      <c r="C21" s="3"/>
      <c r="D21" s="3" t="s">
        <v>37</v>
      </c>
    </row>
    <row r="22" customFormat="false" ht="15" hidden="false" customHeight="false" outlineLevel="0" collapsed="false">
      <c r="A22" s="4" t="s">
        <v>38</v>
      </c>
      <c r="B22" s="6" t="n">
        <v>102</v>
      </c>
      <c r="C22" s="11"/>
      <c r="D22" s="10" t="s">
        <v>39</v>
      </c>
    </row>
    <row r="23" customFormat="false" ht="15" hidden="false" customHeight="false" outlineLevel="0" collapsed="false">
      <c r="A23" s="4" t="s">
        <v>40</v>
      </c>
      <c r="B23" s="12" t="n">
        <v>129.25</v>
      </c>
      <c r="C23" s="11"/>
      <c r="D23" s="10" t="s">
        <v>41</v>
      </c>
    </row>
    <row r="24" customFormat="false" ht="15" hidden="false" customHeight="false" outlineLevel="0" collapsed="false">
      <c r="A24" s="4" t="s">
        <v>42</v>
      </c>
      <c r="B24" s="6" t="n">
        <v>129</v>
      </c>
      <c r="C24" s="11"/>
      <c r="D24" s="10" t="s">
        <v>43</v>
      </c>
    </row>
    <row r="25" customFormat="false" ht="15" hidden="false" customHeight="false" outlineLevel="0" collapsed="false">
      <c r="A25" s="4" t="s">
        <v>44</v>
      </c>
      <c r="B25" s="6" t="n">
        <v>22.5</v>
      </c>
      <c r="C25" s="11"/>
      <c r="D25" s="10" t="s">
        <v>45</v>
      </c>
    </row>
    <row r="26" customFormat="false" ht="15" hidden="false" customHeight="false" outlineLevel="0" collapsed="false">
      <c r="A26" s="4" t="s">
        <v>46</v>
      </c>
      <c r="B26" s="12" t="n">
        <v>39</v>
      </c>
      <c r="C26" s="11"/>
      <c r="D26" s="10" t="s">
        <v>47</v>
      </c>
    </row>
    <row r="27" customFormat="false" ht="15" hidden="false" customHeight="false" outlineLevel="0" collapsed="false">
      <c r="A27" s="4" t="s">
        <v>48</v>
      </c>
      <c r="B27" s="13" t="n">
        <v>542.1</v>
      </c>
      <c r="C27" s="11"/>
      <c r="D27" s="10" t="s">
        <v>49</v>
      </c>
    </row>
    <row r="29" customFormat="false" ht="26.85" hidden="false" customHeight="false" outlineLevel="0" collapsed="false">
      <c r="A29" s="14" t="s">
        <v>50</v>
      </c>
    </row>
    <row r="30" customFormat="false" ht="25.5" hidden="false" customHeight="true" outlineLevel="0" collapsed="false">
      <c r="A30" s="15" t="s">
        <v>51</v>
      </c>
      <c r="B30" s="16" t="s">
        <v>52</v>
      </c>
      <c r="C30" s="16"/>
      <c r="D30" s="16"/>
    </row>
    <row r="31" customFormat="false" ht="25.5" hidden="false" customHeight="true" outlineLevel="0" collapsed="false">
      <c r="A31" s="15" t="s">
        <v>51</v>
      </c>
      <c r="B31" s="16" t="s">
        <v>53</v>
      </c>
      <c r="C31" s="16"/>
      <c r="D31" s="16"/>
    </row>
    <row r="32" customFormat="false" ht="25.5" hidden="false" customHeight="true" outlineLevel="0" collapsed="false">
      <c r="A32" s="15" t="s">
        <v>51</v>
      </c>
      <c r="B32" s="16" t="s">
        <v>54</v>
      </c>
      <c r="C32" s="16"/>
      <c r="D32" s="16"/>
    </row>
    <row r="33" customFormat="false" ht="25.5" hidden="false" customHeight="true" outlineLevel="0" collapsed="false">
      <c r="A33" s="15" t="s">
        <v>51</v>
      </c>
      <c r="B33" s="16" t="s">
        <v>55</v>
      </c>
      <c r="C33" s="16"/>
      <c r="D33" s="16"/>
    </row>
    <row r="34" customFormat="false" ht="25.5" hidden="false" customHeight="true" outlineLevel="0" collapsed="false">
      <c r="A34" s="15" t="s">
        <v>51</v>
      </c>
      <c r="B34" s="16" t="s">
        <v>56</v>
      </c>
      <c r="C34" s="16"/>
      <c r="D34" s="16"/>
    </row>
    <row r="35" customFormat="false" ht="25.5" hidden="false" customHeight="true" outlineLevel="0" collapsed="false">
      <c r="A35" s="15" t="s">
        <v>51</v>
      </c>
      <c r="B35" s="16" t="s">
        <v>57</v>
      </c>
      <c r="C35" s="16"/>
      <c r="D35" s="16"/>
    </row>
  </sheetData>
  <mergeCells count="6">
    <mergeCell ref="B30:D30"/>
    <mergeCell ref="B31:D31"/>
    <mergeCell ref="B32:D32"/>
    <mergeCell ref="B33:D33"/>
    <mergeCell ref="B34:D34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9" min="3" style="0" width="16"/>
    <col collapsed="false" customWidth="true" hidden="false" outlineLevel="0" max="10" min="10" style="0" width="12"/>
  </cols>
  <sheetData>
    <row r="1" customFormat="false" ht="64.15" hidden="false" customHeight="false" outlineLevel="0" collapsed="false">
      <c r="A1" s="1" t="s">
        <v>58</v>
      </c>
    </row>
    <row r="2" customFormat="false" ht="22.35" hidden="false" customHeight="false" outlineLevel="0" collapsed="false">
      <c r="A2" s="2" t="s">
        <v>59</v>
      </c>
    </row>
    <row r="4" customFormat="false" ht="31.5" hidden="false" customHeight="true" outlineLevel="0" collapsed="false">
      <c r="A4" s="3" t="s">
        <v>60</v>
      </c>
      <c r="B4" s="3" t="s">
        <v>21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</row>
    <row r="5" customFormat="false" ht="39.75" hidden="false" customHeight="true" outlineLevel="0" collapsed="false">
      <c r="A5" s="7" t="s">
        <v>24</v>
      </c>
      <c r="B5" s="17" t="s">
        <v>25</v>
      </c>
      <c r="C5" s="18" t="s">
        <v>69</v>
      </c>
      <c r="D5" s="18" t="s">
        <v>70</v>
      </c>
      <c r="E5" s="18" t="s">
        <v>71</v>
      </c>
      <c r="F5" s="18" t="s">
        <v>70</v>
      </c>
      <c r="G5" s="18" t="s">
        <v>69</v>
      </c>
      <c r="H5" s="19" t="s">
        <v>72</v>
      </c>
      <c r="I5" s="19" t="s">
        <v>72</v>
      </c>
      <c r="J5" s="20" t="n">
        <f aca="false">J12</f>
        <v>41</v>
      </c>
    </row>
    <row r="6" customFormat="false" ht="39.75" hidden="false" customHeight="true" outlineLevel="0" collapsed="false">
      <c r="A6" s="7" t="s">
        <v>27</v>
      </c>
      <c r="B6" s="17" t="s">
        <v>25</v>
      </c>
      <c r="C6" s="21" t="s">
        <v>73</v>
      </c>
      <c r="D6" s="21" t="s">
        <v>74</v>
      </c>
      <c r="E6" s="21" t="s">
        <v>75</v>
      </c>
      <c r="F6" s="21" t="s">
        <v>74</v>
      </c>
      <c r="G6" s="22" t="s">
        <v>76</v>
      </c>
      <c r="H6" s="19" t="s">
        <v>72</v>
      </c>
      <c r="I6" s="19" t="s">
        <v>72</v>
      </c>
      <c r="J6" s="20" t="n">
        <f aca="false">J13</f>
        <v>41</v>
      </c>
    </row>
    <row r="7" customFormat="false" ht="39.75" hidden="false" customHeight="true" outlineLevel="0" collapsed="false">
      <c r="A7" s="7" t="s">
        <v>28</v>
      </c>
      <c r="B7" s="17" t="s">
        <v>29</v>
      </c>
      <c r="C7" s="22" t="s">
        <v>77</v>
      </c>
      <c r="D7" s="19" t="s">
        <v>72</v>
      </c>
      <c r="E7" s="19" t="s">
        <v>72</v>
      </c>
      <c r="F7" s="19" t="s">
        <v>72</v>
      </c>
      <c r="G7" s="21" t="s">
        <v>75</v>
      </c>
      <c r="H7" s="23" t="s">
        <v>78</v>
      </c>
      <c r="I7" s="19" t="s">
        <v>72</v>
      </c>
      <c r="J7" s="20" t="n">
        <f aca="false">J14</f>
        <v>24</v>
      </c>
    </row>
    <row r="8" customFormat="false" ht="39.75" hidden="false" customHeight="true" outlineLevel="0" collapsed="false">
      <c r="A8" s="7" t="s">
        <v>31</v>
      </c>
      <c r="B8" s="17" t="s">
        <v>29</v>
      </c>
      <c r="C8" s="19" t="s">
        <v>72</v>
      </c>
      <c r="D8" s="22" t="s">
        <v>79</v>
      </c>
      <c r="E8" s="19" t="s">
        <v>72</v>
      </c>
      <c r="F8" s="19" t="s">
        <v>72</v>
      </c>
      <c r="G8" s="19" t="s">
        <v>72</v>
      </c>
      <c r="H8" s="19" t="s">
        <v>72</v>
      </c>
      <c r="I8" s="23" t="s">
        <v>78</v>
      </c>
      <c r="J8" s="20" t="n">
        <f aca="false">J15</f>
        <v>16</v>
      </c>
    </row>
    <row r="9" customFormat="false" ht="39.75" hidden="false" customHeight="true" outlineLevel="0" collapsed="false">
      <c r="A9" s="7" t="s">
        <v>32</v>
      </c>
      <c r="B9" s="17" t="s">
        <v>33</v>
      </c>
      <c r="C9" s="19" t="s">
        <v>72</v>
      </c>
      <c r="D9" s="19" t="s">
        <v>72</v>
      </c>
      <c r="E9" s="22" t="s">
        <v>80</v>
      </c>
      <c r="F9" s="22" t="s">
        <v>81</v>
      </c>
      <c r="G9" s="19" t="s">
        <v>72</v>
      </c>
      <c r="H9" s="19" t="s">
        <v>72</v>
      </c>
      <c r="I9" s="19" t="s">
        <v>72</v>
      </c>
      <c r="J9" s="20" t="n">
        <f aca="false">J16</f>
        <v>9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s">
        <v>6</v>
      </c>
      <c r="D11" s="3" t="s">
        <v>9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18</v>
      </c>
      <c r="J11" s="3" t="s">
        <v>84</v>
      </c>
    </row>
    <row r="12" customFormat="false" ht="15" hidden="false" customHeight="false" outlineLevel="0" collapsed="false">
      <c r="A12" s="7" t="s">
        <v>24</v>
      </c>
      <c r="B12" s="24" t="n">
        <v>40</v>
      </c>
      <c r="C12" s="25" t="n">
        <v>8</v>
      </c>
      <c r="D12" s="25" t="n">
        <v>8</v>
      </c>
      <c r="E12" s="25" t="n">
        <v>9</v>
      </c>
      <c r="F12" s="25" t="n">
        <v>8</v>
      </c>
      <c r="G12" s="25" t="n">
        <v>8</v>
      </c>
      <c r="H12" s="25"/>
      <c r="I12" s="25"/>
      <c r="J12" s="26" t="n">
        <f aca="false">SUM(C12:I12)</f>
        <v>41</v>
      </c>
    </row>
    <row r="13" customFormat="false" ht="15" hidden="false" customHeight="false" outlineLevel="0" collapsed="false">
      <c r="A13" s="7" t="s">
        <v>27</v>
      </c>
      <c r="B13" s="24" t="n">
        <v>40</v>
      </c>
      <c r="C13" s="25" t="n">
        <v>9</v>
      </c>
      <c r="D13" s="25" t="n">
        <v>8</v>
      </c>
      <c r="E13" s="25" t="n">
        <v>8</v>
      </c>
      <c r="F13" s="25" t="n">
        <v>8</v>
      </c>
      <c r="G13" s="25" t="n">
        <v>8</v>
      </c>
      <c r="H13" s="25"/>
      <c r="I13" s="25"/>
      <c r="J13" s="26" t="n">
        <f aca="false">SUM(C13:I13)</f>
        <v>41</v>
      </c>
    </row>
    <row r="14" customFormat="false" ht="15" hidden="false" customHeight="false" outlineLevel="0" collapsed="false">
      <c r="A14" s="7" t="s">
        <v>28</v>
      </c>
      <c r="B14" s="24" t="n">
        <v>20</v>
      </c>
      <c r="C14" s="25" t="n">
        <v>6</v>
      </c>
      <c r="D14" s="25"/>
      <c r="E14" s="25"/>
      <c r="F14" s="25"/>
      <c r="G14" s="25" t="n">
        <v>8</v>
      </c>
      <c r="H14" s="25" t="n">
        <v>10</v>
      </c>
      <c r="I14" s="25"/>
      <c r="J14" s="26" t="n">
        <f aca="false">SUM(C14:I14)</f>
        <v>24</v>
      </c>
    </row>
    <row r="15" customFormat="false" ht="15" hidden="false" customHeight="false" outlineLevel="0" collapsed="false">
      <c r="A15" s="7" t="s">
        <v>31</v>
      </c>
      <c r="B15" s="24" t="n">
        <v>20</v>
      </c>
      <c r="C15" s="25"/>
      <c r="D15" s="25" t="n">
        <v>6</v>
      </c>
      <c r="E15" s="25"/>
      <c r="F15" s="25"/>
      <c r="G15" s="25"/>
      <c r="H15" s="25"/>
      <c r="I15" s="25" t="n">
        <v>10</v>
      </c>
      <c r="J15" s="26" t="n">
        <f aca="false">SUM(C15:I15)</f>
        <v>16</v>
      </c>
    </row>
    <row r="16" customFormat="false" ht="15" hidden="false" customHeight="false" outlineLevel="0" collapsed="false">
      <c r="A16" s="7" t="s">
        <v>32</v>
      </c>
      <c r="B16" s="24" t="n">
        <v>9</v>
      </c>
      <c r="C16" s="25"/>
      <c r="D16" s="25"/>
      <c r="E16" s="25" t="n">
        <v>4.5</v>
      </c>
      <c r="F16" s="25" t="n">
        <v>4.5</v>
      </c>
      <c r="G16" s="25"/>
      <c r="H16" s="25"/>
      <c r="I16" s="25"/>
      <c r="J16" s="26" t="n">
        <f aca="false">SUM(C16:I16)</f>
        <v>9</v>
      </c>
    </row>
    <row r="17" customFormat="false" ht="15" hidden="false" customHeight="false" outlineLevel="0" collapsed="false">
      <c r="A17" s="7" t="s">
        <v>85</v>
      </c>
      <c r="B17" s="8"/>
      <c r="C17" s="20" t="n">
        <f aca="false">SUM(C12:C16)</f>
        <v>23</v>
      </c>
      <c r="D17" s="20" t="n">
        <f aca="false">SUM(D12:D16)</f>
        <v>22</v>
      </c>
      <c r="E17" s="20" t="n">
        <f aca="false">SUM(E12:E16)</f>
        <v>21.5</v>
      </c>
      <c r="F17" s="20" t="n">
        <f aca="false">SUM(F12:F16)</f>
        <v>20.5</v>
      </c>
      <c r="G17" s="20" t="n">
        <f aca="false">SUM(G12:G16)</f>
        <v>24</v>
      </c>
      <c r="H17" s="20" t="n">
        <f aca="false">SUM(H12:H16)</f>
        <v>10</v>
      </c>
      <c r="I17" s="20" t="n">
        <f aca="false">SUM(I12:I16)</f>
        <v>10</v>
      </c>
      <c r="J17" s="20" t="n">
        <f aca="false">SUM(J12:J16)</f>
        <v>131</v>
      </c>
    </row>
    <row r="18" customFormat="false" ht="15" hidden="false" customHeight="false" outlineLevel="0" collapsed="false">
      <c r="A18" s="4" t="s">
        <v>86</v>
      </c>
      <c r="B18" s="11"/>
      <c r="C18" s="5" t="n">
        <v>3</v>
      </c>
      <c r="D18" s="5" t="n">
        <v>3</v>
      </c>
      <c r="E18" s="5" t="n">
        <v>3</v>
      </c>
      <c r="F18" s="5" t="n">
        <v>3</v>
      </c>
      <c r="G18" s="5" t="n">
        <v>3</v>
      </c>
      <c r="H18" s="5" t="n">
        <v>1</v>
      </c>
      <c r="I18" s="5" t="n">
        <v>1</v>
      </c>
      <c r="J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9" min="3" style="0" width="16"/>
    <col collapsed="false" customWidth="true" hidden="false" outlineLevel="0" max="10" min="10" style="0" width="12"/>
  </cols>
  <sheetData>
    <row r="1" customFormat="false" ht="64.15" hidden="false" customHeight="false" outlineLevel="0" collapsed="false">
      <c r="A1" s="1" t="s">
        <v>87</v>
      </c>
    </row>
    <row r="2" customFormat="false" ht="22.35" hidden="false" customHeight="false" outlineLevel="0" collapsed="false">
      <c r="A2" s="2" t="s">
        <v>59</v>
      </c>
    </row>
    <row r="4" customFormat="false" ht="31.5" hidden="false" customHeight="true" outlineLevel="0" collapsed="false">
      <c r="A4" s="3" t="s">
        <v>60</v>
      </c>
      <c r="B4" s="3" t="s">
        <v>21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</row>
    <row r="5" customFormat="false" ht="39.75" hidden="false" customHeight="true" outlineLevel="0" collapsed="false">
      <c r="A5" s="7" t="s">
        <v>24</v>
      </c>
      <c r="B5" s="17" t="s">
        <v>25</v>
      </c>
      <c r="C5" s="21" t="s">
        <v>73</v>
      </c>
      <c r="D5" s="21" t="s">
        <v>74</v>
      </c>
      <c r="E5" s="21" t="s">
        <v>75</v>
      </c>
      <c r="F5" s="21" t="s">
        <v>74</v>
      </c>
      <c r="G5" s="22" t="s">
        <v>76</v>
      </c>
      <c r="H5" s="19" t="s">
        <v>72</v>
      </c>
      <c r="I5" s="19" t="s">
        <v>72</v>
      </c>
      <c r="J5" s="20" t="n">
        <f aca="false">J12</f>
        <v>41</v>
      </c>
    </row>
    <row r="6" customFormat="false" ht="39.75" hidden="false" customHeight="true" outlineLevel="0" collapsed="false">
      <c r="A6" s="7" t="s">
        <v>27</v>
      </c>
      <c r="B6" s="17" t="s">
        <v>25</v>
      </c>
      <c r="C6" s="18" t="s">
        <v>69</v>
      </c>
      <c r="D6" s="18" t="s">
        <v>70</v>
      </c>
      <c r="E6" s="18" t="s">
        <v>71</v>
      </c>
      <c r="F6" s="18" t="s">
        <v>70</v>
      </c>
      <c r="G6" s="18" t="s">
        <v>69</v>
      </c>
      <c r="H6" s="19" t="s">
        <v>72</v>
      </c>
      <c r="I6" s="19" t="s">
        <v>72</v>
      </c>
      <c r="J6" s="20" t="n">
        <f aca="false">J13</f>
        <v>41</v>
      </c>
    </row>
    <row r="7" customFormat="false" ht="39.75" hidden="false" customHeight="true" outlineLevel="0" collapsed="false">
      <c r="A7" s="7" t="s">
        <v>28</v>
      </c>
      <c r="B7" s="17" t="s">
        <v>29</v>
      </c>
      <c r="C7" s="19" t="s">
        <v>72</v>
      </c>
      <c r="D7" s="22" t="s">
        <v>79</v>
      </c>
      <c r="E7" s="19" t="s">
        <v>72</v>
      </c>
      <c r="F7" s="19" t="s">
        <v>72</v>
      </c>
      <c r="G7" s="19" t="s">
        <v>72</v>
      </c>
      <c r="H7" s="19" t="s">
        <v>72</v>
      </c>
      <c r="I7" s="23" t="s">
        <v>78</v>
      </c>
      <c r="J7" s="20" t="n">
        <f aca="false">J14</f>
        <v>16</v>
      </c>
    </row>
    <row r="8" customFormat="false" ht="39.75" hidden="false" customHeight="true" outlineLevel="0" collapsed="false">
      <c r="A8" s="7" t="s">
        <v>31</v>
      </c>
      <c r="B8" s="17" t="s">
        <v>29</v>
      </c>
      <c r="C8" s="22" t="s">
        <v>77</v>
      </c>
      <c r="D8" s="19" t="s">
        <v>72</v>
      </c>
      <c r="E8" s="19" t="s">
        <v>72</v>
      </c>
      <c r="F8" s="19" t="s">
        <v>72</v>
      </c>
      <c r="G8" s="21" t="s">
        <v>75</v>
      </c>
      <c r="H8" s="23" t="s">
        <v>78</v>
      </c>
      <c r="I8" s="19" t="s">
        <v>72</v>
      </c>
      <c r="J8" s="20" t="n">
        <f aca="false">J15</f>
        <v>24</v>
      </c>
    </row>
    <row r="9" customFormat="false" ht="39.75" hidden="false" customHeight="true" outlineLevel="0" collapsed="false">
      <c r="A9" s="7" t="s">
        <v>32</v>
      </c>
      <c r="B9" s="17" t="s">
        <v>33</v>
      </c>
      <c r="C9" s="19" t="s">
        <v>72</v>
      </c>
      <c r="D9" s="19" t="s">
        <v>72</v>
      </c>
      <c r="E9" s="22" t="s">
        <v>80</v>
      </c>
      <c r="F9" s="22" t="s">
        <v>81</v>
      </c>
      <c r="G9" s="19" t="s">
        <v>72</v>
      </c>
      <c r="H9" s="19" t="s">
        <v>72</v>
      </c>
      <c r="I9" s="19" t="s">
        <v>72</v>
      </c>
      <c r="J9" s="20" t="n">
        <f aca="false">J16</f>
        <v>9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s">
        <v>6</v>
      </c>
      <c r="D11" s="3" t="s">
        <v>9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18</v>
      </c>
      <c r="J11" s="3" t="s">
        <v>84</v>
      </c>
    </row>
    <row r="12" customFormat="false" ht="15" hidden="false" customHeight="false" outlineLevel="0" collapsed="false">
      <c r="A12" s="7" t="s">
        <v>24</v>
      </c>
      <c r="B12" s="24" t="n">
        <v>40</v>
      </c>
      <c r="C12" s="25" t="n">
        <v>9</v>
      </c>
      <c r="D12" s="25" t="n">
        <v>8</v>
      </c>
      <c r="E12" s="25" t="n">
        <v>8</v>
      </c>
      <c r="F12" s="25" t="n">
        <v>8</v>
      </c>
      <c r="G12" s="25" t="n">
        <v>8</v>
      </c>
      <c r="H12" s="25"/>
      <c r="I12" s="25"/>
      <c r="J12" s="26" t="n">
        <f aca="false">SUM(C12:I12)</f>
        <v>41</v>
      </c>
    </row>
    <row r="13" customFormat="false" ht="15" hidden="false" customHeight="false" outlineLevel="0" collapsed="false">
      <c r="A13" s="7" t="s">
        <v>27</v>
      </c>
      <c r="B13" s="24" t="n">
        <v>40</v>
      </c>
      <c r="C13" s="25" t="n">
        <v>8</v>
      </c>
      <c r="D13" s="25" t="n">
        <v>8</v>
      </c>
      <c r="E13" s="25" t="n">
        <v>9</v>
      </c>
      <c r="F13" s="25" t="n">
        <v>8</v>
      </c>
      <c r="G13" s="25" t="n">
        <v>8</v>
      </c>
      <c r="H13" s="25"/>
      <c r="I13" s="25"/>
      <c r="J13" s="26" t="n">
        <f aca="false">SUM(C13:I13)</f>
        <v>41</v>
      </c>
    </row>
    <row r="14" customFormat="false" ht="15" hidden="false" customHeight="false" outlineLevel="0" collapsed="false">
      <c r="A14" s="7" t="s">
        <v>28</v>
      </c>
      <c r="B14" s="24" t="n">
        <v>20</v>
      </c>
      <c r="C14" s="25"/>
      <c r="D14" s="25" t="n">
        <v>6</v>
      </c>
      <c r="E14" s="25"/>
      <c r="F14" s="25"/>
      <c r="G14" s="25"/>
      <c r="H14" s="25"/>
      <c r="I14" s="25" t="n">
        <v>10</v>
      </c>
      <c r="J14" s="26" t="n">
        <f aca="false">SUM(C14:I14)</f>
        <v>16</v>
      </c>
    </row>
    <row r="15" customFormat="false" ht="15" hidden="false" customHeight="false" outlineLevel="0" collapsed="false">
      <c r="A15" s="7" t="s">
        <v>31</v>
      </c>
      <c r="B15" s="24" t="n">
        <v>20</v>
      </c>
      <c r="C15" s="25" t="n">
        <v>6</v>
      </c>
      <c r="D15" s="25"/>
      <c r="E15" s="25"/>
      <c r="F15" s="25"/>
      <c r="G15" s="25" t="n">
        <v>8</v>
      </c>
      <c r="H15" s="25" t="n">
        <v>10</v>
      </c>
      <c r="I15" s="25"/>
      <c r="J15" s="26" t="n">
        <f aca="false">SUM(C15:I15)</f>
        <v>24</v>
      </c>
    </row>
    <row r="16" customFormat="false" ht="15" hidden="false" customHeight="false" outlineLevel="0" collapsed="false">
      <c r="A16" s="7" t="s">
        <v>32</v>
      </c>
      <c r="B16" s="24" t="n">
        <v>9</v>
      </c>
      <c r="C16" s="25"/>
      <c r="D16" s="25"/>
      <c r="E16" s="25" t="n">
        <v>4.5</v>
      </c>
      <c r="F16" s="25" t="n">
        <v>4.5</v>
      </c>
      <c r="G16" s="25"/>
      <c r="H16" s="25"/>
      <c r="I16" s="25"/>
      <c r="J16" s="26" t="n">
        <f aca="false">SUM(C16:I16)</f>
        <v>9</v>
      </c>
    </row>
    <row r="17" customFormat="false" ht="15" hidden="false" customHeight="false" outlineLevel="0" collapsed="false">
      <c r="A17" s="7" t="s">
        <v>85</v>
      </c>
      <c r="B17" s="8"/>
      <c r="C17" s="20" t="n">
        <f aca="false">SUM(C12:C16)</f>
        <v>23</v>
      </c>
      <c r="D17" s="20" t="n">
        <f aca="false">SUM(D12:D16)</f>
        <v>22</v>
      </c>
      <c r="E17" s="20" t="n">
        <f aca="false">SUM(E12:E16)</f>
        <v>21.5</v>
      </c>
      <c r="F17" s="20" t="n">
        <f aca="false">SUM(F12:F16)</f>
        <v>20.5</v>
      </c>
      <c r="G17" s="20" t="n">
        <f aca="false">SUM(G12:G16)</f>
        <v>24</v>
      </c>
      <c r="H17" s="20" t="n">
        <f aca="false">SUM(H12:H16)</f>
        <v>10</v>
      </c>
      <c r="I17" s="20" t="n">
        <f aca="false">SUM(I12:I16)</f>
        <v>10</v>
      </c>
      <c r="J17" s="20" t="n">
        <f aca="false">SUM(J12:J16)</f>
        <v>131</v>
      </c>
    </row>
    <row r="18" customFormat="false" ht="15" hidden="false" customHeight="false" outlineLevel="0" collapsed="false">
      <c r="A18" s="4" t="s">
        <v>86</v>
      </c>
      <c r="B18" s="11"/>
      <c r="C18" s="5" t="n">
        <v>3</v>
      </c>
      <c r="D18" s="5" t="n">
        <v>3</v>
      </c>
      <c r="E18" s="5" t="n">
        <v>3</v>
      </c>
      <c r="F18" s="5" t="n">
        <v>3</v>
      </c>
      <c r="G18" s="5" t="n">
        <v>3</v>
      </c>
      <c r="H18" s="5" t="n">
        <v>1</v>
      </c>
      <c r="I18" s="5" t="n">
        <v>1</v>
      </c>
      <c r="J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9" min="3" style="0" width="16"/>
    <col collapsed="false" customWidth="true" hidden="false" outlineLevel="0" max="10" min="10" style="0" width="12"/>
  </cols>
  <sheetData>
    <row r="1" customFormat="false" ht="64.15" hidden="false" customHeight="false" outlineLevel="0" collapsed="false">
      <c r="A1" s="1" t="s">
        <v>88</v>
      </c>
    </row>
    <row r="2" customFormat="false" ht="22.35" hidden="false" customHeight="false" outlineLevel="0" collapsed="false">
      <c r="A2" s="2" t="s">
        <v>59</v>
      </c>
    </row>
    <row r="4" customFormat="false" ht="31.5" hidden="false" customHeight="true" outlineLevel="0" collapsed="false">
      <c r="A4" s="3" t="s">
        <v>60</v>
      </c>
      <c r="B4" s="3" t="s">
        <v>21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</row>
    <row r="5" customFormat="false" ht="39.75" hidden="false" customHeight="true" outlineLevel="0" collapsed="false">
      <c r="A5" s="7" t="s">
        <v>24</v>
      </c>
      <c r="B5" s="17" t="s">
        <v>25</v>
      </c>
      <c r="C5" s="19" t="s">
        <v>72</v>
      </c>
      <c r="D5" s="21" t="s">
        <v>89</v>
      </c>
      <c r="E5" s="21" t="s">
        <v>75</v>
      </c>
      <c r="F5" s="21" t="s">
        <v>74</v>
      </c>
      <c r="G5" s="21" t="s">
        <v>75</v>
      </c>
      <c r="H5" s="19" t="s">
        <v>72</v>
      </c>
      <c r="I5" s="23" t="s">
        <v>78</v>
      </c>
      <c r="J5" s="20" t="n">
        <f aca="false">J12</f>
        <v>43</v>
      </c>
    </row>
    <row r="6" customFormat="false" ht="39.75" hidden="false" customHeight="true" outlineLevel="0" collapsed="false">
      <c r="A6" s="7" t="s">
        <v>27</v>
      </c>
      <c r="B6" s="17" t="s">
        <v>25</v>
      </c>
      <c r="C6" s="19" t="s">
        <v>72</v>
      </c>
      <c r="D6" s="18" t="s">
        <v>70</v>
      </c>
      <c r="E6" s="18" t="s">
        <v>71</v>
      </c>
      <c r="F6" s="18" t="s">
        <v>70</v>
      </c>
      <c r="G6" s="19" t="s">
        <v>72</v>
      </c>
      <c r="H6" s="23" t="s">
        <v>78</v>
      </c>
      <c r="I6" s="19" t="s">
        <v>72</v>
      </c>
      <c r="J6" s="20" t="n">
        <f aca="false">J13</f>
        <v>35</v>
      </c>
    </row>
    <row r="7" customFormat="false" ht="39.75" hidden="false" customHeight="true" outlineLevel="0" collapsed="false">
      <c r="A7" s="7" t="s">
        <v>28</v>
      </c>
      <c r="B7" s="17" t="s">
        <v>29</v>
      </c>
      <c r="C7" s="21" t="s">
        <v>75</v>
      </c>
      <c r="D7" s="19" t="s">
        <v>72</v>
      </c>
      <c r="E7" s="19" t="s">
        <v>72</v>
      </c>
      <c r="F7" s="22" t="s">
        <v>81</v>
      </c>
      <c r="G7" s="22" t="s">
        <v>77</v>
      </c>
      <c r="H7" s="19" t="s">
        <v>72</v>
      </c>
      <c r="I7" s="19" t="s">
        <v>72</v>
      </c>
      <c r="J7" s="20" t="n">
        <f aca="false">J14</f>
        <v>18.5</v>
      </c>
    </row>
    <row r="8" customFormat="false" ht="39.75" hidden="false" customHeight="true" outlineLevel="0" collapsed="false">
      <c r="A8" s="7" t="s">
        <v>31</v>
      </c>
      <c r="B8" s="17" t="s">
        <v>29</v>
      </c>
      <c r="C8" s="18" t="s">
        <v>69</v>
      </c>
      <c r="D8" s="22" t="s">
        <v>79</v>
      </c>
      <c r="E8" s="19" t="s">
        <v>72</v>
      </c>
      <c r="F8" s="19" t="s">
        <v>72</v>
      </c>
      <c r="G8" s="18" t="s">
        <v>69</v>
      </c>
      <c r="H8" s="19" t="s">
        <v>72</v>
      </c>
      <c r="I8" s="19" t="s">
        <v>72</v>
      </c>
      <c r="J8" s="20" t="n">
        <f aca="false">J15</f>
        <v>22</v>
      </c>
    </row>
    <row r="9" customFormat="false" ht="39.75" hidden="false" customHeight="true" outlineLevel="0" collapsed="false">
      <c r="A9" s="7" t="s">
        <v>32</v>
      </c>
      <c r="B9" s="17" t="s">
        <v>33</v>
      </c>
      <c r="C9" s="22" t="s">
        <v>80</v>
      </c>
      <c r="D9" s="19" t="s">
        <v>72</v>
      </c>
      <c r="E9" s="22" t="s">
        <v>80</v>
      </c>
      <c r="F9" s="19" t="s">
        <v>72</v>
      </c>
      <c r="G9" s="19" t="s">
        <v>72</v>
      </c>
      <c r="H9" s="19" t="s">
        <v>72</v>
      </c>
      <c r="I9" s="19" t="s">
        <v>72</v>
      </c>
      <c r="J9" s="20" t="n">
        <f aca="false">J16</f>
        <v>9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s">
        <v>6</v>
      </c>
      <c r="D11" s="3" t="s">
        <v>9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18</v>
      </c>
      <c r="J11" s="3" t="s">
        <v>84</v>
      </c>
    </row>
    <row r="12" customFormat="false" ht="15" hidden="false" customHeight="false" outlineLevel="0" collapsed="false">
      <c r="A12" s="7" t="s">
        <v>24</v>
      </c>
      <c r="B12" s="24" t="n">
        <v>40</v>
      </c>
      <c r="C12" s="25"/>
      <c r="D12" s="25" t="n">
        <v>9</v>
      </c>
      <c r="E12" s="25" t="n">
        <v>8</v>
      </c>
      <c r="F12" s="25" t="n">
        <v>8</v>
      </c>
      <c r="G12" s="25" t="n">
        <v>8</v>
      </c>
      <c r="H12" s="25"/>
      <c r="I12" s="25" t="n">
        <v>10</v>
      </c>
      <c r="J12" s="26" t="n">
        <f aca="false">SUM(C12:I12)</f>
        <v>43</v>
      </c>
    </row>
    <row r="13" customFormat="false" ht="15" hidden="false" customHeight="false" outlineLevel="0" collapsed="false">
      <c r="A13" s="7" t="s">
        <v>27</v>
      </c>
      <c r="B13" s="24" t="n">
        <v>40</v>
      </c>
      <c r="C13" s="25"/>
      <c r="D13" s="25" t="n">
        <v>8</v>
      </c>
      <c r="E13" s="25" t="n">
        <v>9</v>
      </c>
      <c r="F13" s="25" t="n">
        <v>8</v>
      </c>
      <c r="G13" s="25"/>
      <c r="H13" s="25" t="n">
        <v>10</v>
      </c>
      <c r="I13" s="25"/>
      <c r="J13" s="26" t="n">
        <f aca="false">SUM(C13:I13)</f>
        <v>35</v>
      </c>
    </row>
    <row r="14" customFormat="false" ht="15" hidden="false" customHeight="false" outlineLevel="0" collapsed="false">
      <c r="A14" s="7" t="s">
        <v>28</v>
      </c>
      <c r="B14" s="24" t="n">
        <v>20</v>
      </c>
      <c r="C14" s="25" t="n">
        <v>8</v>
      </c>
      <c r="D14" s="25"/>
      <c r="E14" s="25"/>
      <c r="F14" s="25" t="n">
        <v>4.5</v>
      </c>
      <c r="G14" s="25" t="n">
        <v>6</v>
      </c>
      <c r="H14" s="25"/>
      <c r="I14" s="25"/>
      <c r="J14" s="26" t="n">
        <f aca="false">SUM(C14:I14)</f>
        <v>18.5</v>
      </c>
    </row>
    <row r="15" customFormat="false" ht="15" hidden="false" customHeight="false" outlineLevel="0" collapsed="false">
      <c r="A15" s="7" t="s">
        <v>31</v>
      </c>
      <c r="B15" s="24" t="n">
        <v>20</v>
      </c>
      <c r="C15" s="25" t="n">
        <v>8</v>
      </c>
      <c r="D15" s="25" t="n">
        <v>6</v>
      </c>
      <c r="E15" s="25"/>
      <c r="F15" s="25"/>
      <c r="G15" s="25" t="n">
        <v>8</v>
      </c>
      <c r="H15" s="25"/>
      <c r="I15" s="25"/>
      <c r="J15" s="26" t="n">
        <f aca="false">SUM(C15:I15)</f>
        <v>22</v>
      </c>
    </row>
    <row r="16" customFormat="false" ht="15" hidden="false" customHeight="false" outlineLevel="0" collapsed="false">
      <c r="A16" s="7" t="s">
        <v>32</v>
      </c>
      <c r="B16" s="24" t="n">
        <v>9</v>
      </c>
      <c r="C16" s="25" t="n">
        <v>4.5</v>
      </c>
      <c r="D16" s="25"/>
      <c r="E16" s="25" t="n">
        <v>4.5</v>
      </c>
      <c r="F16" s="25"/>
      <c r="G16" s="25"/>
      <c r="H16" s="25"/>
      <c r="I16" s="25"/>
      <c r="J16" s="26" t="n">
        <f aca="false">SUM(C16:I16)</f>
        <v>9</v>
      </c>
    </row>
    <row r="17" customFormat="false" ht="15" hidden="false" customHeight="false" outlineLevel="0" collapsed="false">
      <c r="A17" s="7" t="s">
        <v>85</v>
      </c>
      <c r="B17" s="8"/>
      <c r="C17" s="20" t="n">
        <f aca="false">SUM(C12:C16)</f>
        <v>20.5</v>
      </c>
      <c r="D17" s="20" t="n">
        <f aca="false">SUM(D12:D16)</f>
        <v>23</v>
      </c>
      <c r="E17" s="20" t="n">
        <f aca="false">SUM(E12:E16)</f>
        <v>21.5</v>
      </c>
      <c r="F17" s="20" t="n">
        <f aca="false">SUM(F12:F16)</f>
        <v>20.5</v>
      </c>
      <c r="G17" s="20" t="n">
        <f aca="false">SUM(G12:G16)</f>
        <v>22</v>
      </c>
      <c r="H17" s="20" t="n">
        <f aca="false">SUM(H12:H16)</f>
        <v>10</v>
      </c>
      <c r="I17" s="20" t="n">
        <f aca="false">SUM(I12:I16)</f>
        <v>10</v>
      </c>
      <c r="J17" s="20" t="n">
        <f aca="false">SUM(J12:J16)</f>
        <v>127.5</v>
      </c>
    </row>
    <row r="18" customFormat="false" ht="15" hidden="false" customHeight="false" outlineLevel="0" collapsed="false">
      <c r="A18" s="4" t="s">
        <v>86</v>
      </c>
      <c r="B18" s="11"/>
      <c r="C18" s="5" t="n">
        <v>3</v>
      </c>
      <c r="D18" s="5" t="n">
        <v>3</v>
      </c>
      <c r="E18" s="5" t="n">
        <v>3</v>
      </c>
      <c r="F18" s="5" t="n">
        <v>3</v>
      </c>
      <c r="G18" s="5" t="n">
        <v>3</v>
      </c>
      <c r="H18" s="5" t="n">
        <v>1</v>
      </c>
      <c r="I18" s="5" t="n">
        <v>1</v>
      </c>
      <c r="J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9" min="3" style="0" width="16"/>
    <col collapsed="false" customWidth="true" hidden="false" outlineLevel="0" max="10" min="10" style="0" width="12"/>
  </cols>
  <sheetData>
    <row r="1" customFormat="false" ht="64.15" hidden="false" customHeight="false" outlineLevel="0" collapsed="false">
      <c r="A1" s="1" t="s">
        <v>90</v>
      </c>
    </row>
    <row r="2" customFormat="false" ht="22.35" hidden="false" customHeight="false" outlineLevel="0" collapsed="false">
      <c r="A2" s="2" t="s">
        <v>59</v>
      </c>
    </row>
    <row r="4" customFormat="false" ht="31.5" hidden="false" customHeight="true" outlineLevel="0" collapsed="false">
      <c r="A4" s="3" t="s">
        <v>60</v>
      </c>
      <c r="B4" s="3" t="s">
        <v>21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</row>
    <row r="5" customFormat="false" ht="39.75" hidden="false" customHeight="true" outlineLevel="0" collapsed="false">
      <c r="A5" s="7" t="s">
        <v>24</v>
      </c>
      <c r="B5" s="17" t="s">
        <v>25</v>
      </c>
      <c r="C5" s="19" t="s">
        <v>72</v>
      </c>
      <c r="D5" s="18" t="s">
        <v>70</v>
      </c>
      <c r="E5" s="18" t="s">
        <v>71</v>
      </c>
      <c r="F5" s="18" t="s">
        <v>70</v>
      </c>
      <c r="G5" s="19" t="s">
        <v>72</v>
      </c>
      <c r="H5" s="23" t="s">
        <v>78</v>
      </c>
      <c r="I5" s="19" t="s">
        <v>72</v>
      </c>
      <c r="J5" s="20" t="n">
        <f aca="false">J12</f>
        <v>35</v>
      </c>
    </row>
    <row r="6" customFormat="false" ht="39.75" hidden="false" customHeight="true" outlineLevel="0" collapsed="false">
      <c r="A6" s="7" t="s">
        <v>27</v>
      </c>
      <c r="B6" s="17" t="s">
        <v>25</v>
      </c>
      <c r="C6" s="19" t="s">
        <v>72</v>
      </c>
      <c r="D6" s="21" t="s">
        <v>89</v>
      </c>
      <c r="E6" s="21" t="s">
        <v>75</v>
      </c>
      <c r="F6" s="21" t="s">
        <v>74</v>
      </c>
      <c r="G6" s="21" t="s">
        <v>75</v>
      </c>
      <c r="H6" s="19" t="s">
        <v>72</v>
      </c>
      <c r="I6" s="23" t="s">
        <v>78</v>
      </c>
      <c r="J6" s="20" t="n">
        <f aca="false">J13</f>
        <v>43</v>
      </c>
    </row>
    <row r="7" customFormat="false" ht="39.75" hidden="false" customHeight="true" outlineLevel="0" collapsed="false">
      <c r="A7" s="7" t="s">
        <v>28</v>
      </c>
      <c r="B7" s="17" t="s">
        <v>29</v>
      </c>
      <c r="C7" s="18" t="s">
        <v>69</v>
      </c>
      <c r="D7" s="22" t="s">
        <v>79</v>
      </c>
      <c r="E7" s="19" t="s">
        <v>72</v>
      </c>
      <c r="F7" s="19" t="s">
        <v>72</v>
      </c>
      <c r="G7" s="18" t="s">
        <v>69</v>
      </c>
      <c r="H7" s="19" t="s">
        <v>72</v>
      </c>
      <c r="I7" s="19" t="s">
        <v>72</v>
      </c>
      <c r="J7" s="20" t="n">
        <f aca="false">J14</f>
        <v>22</v>
      </c>
    </row>
    <row r="8" customFormat="false" ht="39.75" hidden="false" customHeight="true" outlineLevel="0" collapsed="false">
      <c r="A8" s="7" t="s">
        <v>31</v>
      </c>
      <c r="B8" s="17" t="s">
        <v>29</v>
      </c>
      <c r="C8" s="21" t="s">
        <v>75</v>
      </c>
      <c r="D8" s="19" t="s">
        <v>72</v>
      </c>
      <c r="E8" s="19" t="s">
        <v>72</v>
      </c>
      <c r="F8" s="22" t="s">
        <v>81</v>
      </c>
      <c r="G8" s="22" t="s">
        <v>77</v>
      </c>
      <c r="H8" s="19" t="s">
        <v>72</v>
      </c>
      <c r="I8" s="19" t="s">
        <v>72</v>
      </c>
      <c r="J8" s="20" t="n">
        <f aca="false">J15</f>
        <v>18.5</v>
      </c>
    </row>
    <row r="9" customFormat="false" ht="39.75" hidden="false" customHeight="true" outlineLevel="0" collapsed="false">
      <c r="A9" s="7" t="s">
        <v>32</v>
      </c>
      <c r="B9" s="17" t="s">
        <v>33</v>
      </c>
      <c r="C9" s="22" t="s">
        <v>80</v>
      </c>
      <c r="D9" s="19" t="s">
        <v>72</v>
      </c>
      <c r="E9" s="22" t="s">
        <v>80</v>
      </c>
      <c r="F9" s="19" t="s">
        <v>72</v>
      </c>
      <c r="G9" s="19" t="s">
        <v>72</v>
      </c>
      <c r="H9" s="19" t="s">
        <v>72</v>
      </c>
      <c r="I9" s="19" t="s">
        <v>72</v>
      </c>
      <c r="J9" s="20" t="n">
        <f aca="false">J16</f>
        <v>9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s">
        <v>6</v>
      </c>
      <c r="D11" s="3" t="s">
        <v>9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18</v>
      </c>
      <c r="J11" s="3" t="s">
        <v>84</v>
      </c>
    </row>
    <row r="12" customFormat="false" ht="15" hidden="false" customHeight="false" outlineLevel="0" collapsed="false">
      <c r="A12" s="7" t="s">
        <v>24</v>
      </c>
      <c r="B12" s="24" t="n">
        <v>40</v>
      </c>
      <c r="C12" s="25"/>
      <c r="D12" s="25" t="n">
        <v>8</v>
      </c>
      <c r="E12" s="25" t="n">
        <v>9</v>
      </c>
      <c r="F12" s="25" t="n">
        <v>8</v>
      </c>
      <c r="G12" s="25"/>
      <c r="H12" s="25" t="n">
        <v>10</v>
      </c>
      <c r="I12" s="25"/>
      <c r="J12" s="26" t="n">
        <f aca="false">SUM(C12:I12)</f>
        <v>35</v>
      </c>
    </row>
    <row r="13" customFormat="false" ht="15" hidden="false" customHeight="false" outlineLevel="0" collapsed="false">
      <c r="A13" s="7" t="s">
        <v>27</v>
      </c>
      <c r="B13" s="24" t="n">
        <v>40</v>
      </c>
      <c r="C13" s="25"/>
      <c r="D13" s="25" t="n">
        <v>9</v>
      </c>
      <c r="E13" s="25" t="n">
        <v>8</v>
      </c>
      <c r="F13" s="25" t="n">
        <v>8</v>
      </c>
      <c r="G13" s="25" t="n">
        <v>8</v>
      </c>
      <c r="H13" s="25"/>
      <c r="I13" s="25" t="n">
        <v>10</v>
      </c>
      <c r="J13" s="26" t="n">
        <f aca="false">SUM(C13:I13)</f>
        <v>43</v>
      </c>
    </row>
    <row r="14" customFormat="false" ht="15" hidden="false" customHeight="false" outlineLevel="0" collapsed="false">
      <c r="A14" s="7" t="s">
        <v>28</v>
      </c>
      <c r="B14" s="24" t="n">
        <v>20</v>
      </c>
      <c r="C14" s="25" t="n">
        <v>8</v>
      </c>
      <c r="D14" s="25" t="n">
        <v>6</v>
      </c>
      <c r="E14" s="25"/>
      <c r="F14" s="25"/>
      <c r="G14" s="25" t="n">
        <v>8</v>
      </c>
      <c r="H14" s="25"/>
      <c r="I14" s="25"/>
      <c r="J14" s="26" t="n">
        <f aca="false">SUM(C14:I14)</f>
        <v>22</v>
      </c>
    </row>
    <row r="15" customFormat="false" ht="15" hidden="false" customHeight="false" outlineLevel="0" collapsed="false">
      <c r="A15" s="7" t="s">
        <v>31</v>
      </c>
      <c r="B15" s="24" t="n">
        <v>20</v>
      </c>
      <c r="C15" s="25" t="n">
        <v>8</v>
      </c>
      <c r="D15" s="25"/>
      <c r="E15" s="25"/>
      <c r="F15" s="25" t="n">
        <v>4.5</v>
      </c>
      <c r="G15" s="25" t="n">
        <v>6</v>
      </c>
      <c r="H15" s="25"/>
      <c r="I15" s="25"/>
      <c r="J15" s="26" t="n">
        <f aca="false">SUM(C15:I15)</f>
        <v>18.5</v>
      </c>
    </row>
    <row r="16" customFormat="false" ht="15" hidden="false" customHeight="false" outlineLevel="0" collapsed="false">
      <c r="A16" s="7" t="s">
        <v>32</v>
      </c>
      <c r="B16" s="24" t="n">
        <v>9</v>
      </c>
      <c r="C16" s="25" t="n">
        <v>4.5</v>
      </c>
      <c r="D16" s="25"/>
      <c r="E16" s="25" t="n">
        <v>4.5</v>
      </c>
      <c r="F16" s="25"/>
      <c r="G16" s="25"/>
      <c r="H16" s="25"/>
      <c r="I16" s="25"/>
      <c r="J16" s="26" t="n">
        <f aca="false">SUM(C16:I16)</f>
        <v>9</v>
      </c>
    </row>
    <row r="17" customFormat="false" ht="15" hidden="false" customHeight="false" outlineLevel="0" collapsed="false">
      <c r="A17" s="7" t="s">
        <v>85</v>
      </c>
      <c r="B17" s="8"/>
      <c r="C17" s="20" t="n">
        <f aca="false">SUM(C12:C16)</f>
        <v>20.5</v>
      </c>
      <c r="D17" s="20" t="n">
        <f aca="false">SUM(D12:D16)</f>
        <v>23</v>
      </c>
      <c r="E17" s="20" t="n">
        <f aca="false">SUM(E12:E16)</f>
        <v>21.5</v>
      </c>
      <c r="F17" s="20" t="n">
        <f aca="false">SUM(F12:F16)</f>
        <v>20.5</v>
      </c>
      <c r="G17" s="20" t="n">
        <f aca="false">SUM(G12:G16)</f>
        <v>22</v>
      </c>
      <c r="H17" s="20" t="n">
        <f aca="false">SUM(H12:H16)</f>
        <v>10</v>
      </c>
      <c r="I17" s="20" t="n">
        <f aca="false">SUM(I12:I16)</f>
        <v>10</v>
      </c>
      <c r="J17" s="20" t="n">
        <f aca="false">SUM(J12:J16)</f>
        <v>127.5</v>
      </c>
    </row>
    <row r="18" customFormat="false" ht="15" hidden="false" customHeight="false" outlineLevel="0" collapsed="false">
      <c r="A18" s="4" t="s">
        <v>86</v>
      </c>
      <c r="B18" s="11"/>
      <c r="C18" s="5" t="n">
        <v>3</v>
      </c>
      <c r="D18" s="5" t="n">
        <v>3</v>
      </c>
      <c r="E18" s="5" t="n">
        <v>3</v>
      </c>
      <c r="F18" s="5" t="n">
        <v>3</v>
      </c>
      <c r="G18" s="5" t="n">
        <v>3</v>
      </c>
      <c r="H18" s="5" t="n">
        <v>1</v>
      </c>
      <c r="I18" s="5" t="n">
        <v>1</v>
      </c>
      <c r="J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4"/>
    <col collapsed="false" customWidth="true" hidden="false" outlineLevel="0" max="9" min="9" style="0" width="40"/>
  </cols>
  <sheetData>
    <row r="1" customFormat="false" ht="32.8" hidden="false" customHeight="false" outlineLevel="0" collapsed="false">
      <c r="A1" s="1" t="s">
        <v>91</v>
      </c>
    </row>
    <row r="2" customFormat="false" ht="32.8" hidden="false" customHeight="false" outlineLevel="0" collapsed="false">
      <c r="A2" s="2" t="s">
        <v>92</v>
      </c>
    </row>
    <row r="4" customFormat="false" ht="15" hidden="false" customHeight="false" outlineLevel="0" collapsed="false">
      <c r="A4" s="3" t="s">
        <v>60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97</v>
      </c>
      <c r="G4" s="3" t="s">
        <v>98</v>
      </c>
      <c r="H4" s="3" t="s">
        <v>99</v>
      </c>
      <c r="I4" s="3" t="s">
        <v>100</v>
      </c>
    </row>
    <row r="5" customFormat="false" ht="15" hidden="false" customHeight="false" outlineLevel="0" collapsed="false">
      <c r="A5" s="7" t="s">
        <v>24</v>
      </c>
      <c r="B5" s="27" t="n">
        <f aca="false">'Woche 1'!J12</f>
        <v>41</v>
      </c>
      <c r="C5" s="27" t="n">
        <f aca="false">'Woche 2'!J12</f>
        <v>41</v>
      </c>
      <c r="D5" s="27" t="n">
        <f aca="false">'Woche 3'!J12</f>
        <v>43</v>
      </c>
      <c r="E5" s="27" t="n">
        <f aca="false">'Woche 4'!J12</f>
        <v>35</v>
      </c>
      <c r="F5" s="26" t="n">
        <f aca="false">SUM(B5:E5)</f>
        <v>160</v>
      </c>
      <c r="G5" s="27" t="n">
        <v>160</v>
      </c>
      <c r="H5" s="28" t="n">
        <f aca="false">F5-G5</f>
        <v>0</v>
      </c>
      <c r="I5" s="10" t="s">
        <v>101</v>
      </c>
    </row>
    <row r="6" customFormat="false" ht="15" hidden="false" customHeight="false" outlineLevel="0" collapsed="false">
      <c r="A6" s="7" t="s">
        <v>27</v>
      </c>
      <c r="B6" s="27" t="n">
        <f aca="false">'Woche 1'!J13</f>
        <v>41</v>
      </c>
      <c r="C6" s="27" t="n">
        <f aca="false">'Woche 2'!J13</f>
        <v>41</v>
      </c>
      <c r="D6" s="27" t="n">
        <f aca="false">'Woche 3'!J13</f>
        <v>35</v>
      </c>
      <c r="E6" s="27" t="n">
        <f aca="false">'Woche 4'!J13</f>
        <v>43</v>
      </c>
      <c r="F6" s="26" t="n">
        <f aca="false">SUM(B6:E6)</f>
        <v>160</v>
      </c>
      <c r="G6" s="27" t="n">
        <v>160</v>
      </c>
      <c r="H6" s="28" t="n">
        <f aca="false">F6-G6</f>
        <v>0</v>
      </c>
      <c r="I6" s="10" t="s">
        <v>101</v>
      </c>
    </row>
    <row r="7" customFormat="false" ht="15" hidden="false" customHeight="false" outlineLevel="0" collapsed="false">
      <c r="A7" s="7" t="s">
        <v>28</v>
      </c>
      <c r="B7" s="27" t="n">
        <f aca="false">'Woche 1'!J14</f>
        <v>24</v>
      </c>
      <c r="C7" s="27" t="n">
        <f aca="false">'Woche 2'!J14</f>
        <v>16</v>
      </c>
      <c r="D7" s="27" t="n">
        <f aca="false">'Woche 3'!J14</f>
        <v>18.5</v>
      </c>
      <c r="E7" s="27" t="n">
        <f aca="false">'Woche 4'!J14</f>
        <v>22</v>
      </c>
      <c r="F7" s="26" t="n">
        <f aca="false">SUM(B7:E7)</f>
        <v>80.5</v>
      </c>
      <c r="G7" s="27" t="n">
        <v>80</v>
      </c>
      <c r="H7" s="28" t="n">
        <f aca="false">F7-G7</f>
        <v>0.5</v>
      </c>
      <c r="I7" s="10" t="s">
        <v>102</v>
      </c>
    </row>
    <row r="8" customFormat="false" ht="15" hidden="false" customHeight="false" outlineLevel="0" collapsed="false">
      <c r="A8" s="7" t="s">
        <v>31</v>
      </c>
      <c r="B8" s="27" t="n">
        <f aca="false">'Woche 1'!J15</f>
        <v>16</v>
      </c>
      <c r="C8" s="27" t="n">
        <f aca="false">'Woche 2'!J15</f>
        <v>24</v>
      </c>
      <c r="D8" s="27" t="n">
        <f aca="false">'Woche 3'!J15</f>
        <v>22</v>
      </c>
      <c r="E8" s="27" t="n">
        <f aca="false">'Woche 4'!J15</f>
        <v>18.5</v>
      </c>
      <c r="F8" s="26" t="n">
        <f aca="false">SUM(B8:E8)</f>
        <v>80.5</v>
      </c>
      <c r="G8" s="27" t="n">
        <v>80</v>
      </c>
      <c r="H8" s="28" t="n">
        <f aca="false">F8-G8</f>
        <v>0.5</v>
      </c>
      <c r="I8" s="10" t="s">
        <v>102</v>
      </c>
    </row>
    <row r="9" customFormat="false" ht="15" hidden="false" customHeight="false" outlineLevel="0" collapsed="false">
      <c r="A9" s="7" t="s">
        <v>32</v>
      </c>
      <c r="B9" s="27" t="n">
        <f aca="false">'Woche 1'!J16</f>
        <v>9</v>
      </c>
      <c r="C9" s="27" t="n">
        <f aca="false">'Woche 2'!J16</f>
        <v>9</v>
      </c>
      <c r="D9" s="27" t="n">
        <f aca="false">'Woche 3'!J16</f>
        <v>9</v>
      </c>
      <c r="E9" s="27" t="n">
        <f aca="false">'Woche 4'!J16</f>
        <v>9</v>
      </c>
      <c r="F9" s="26" t="n">
        <f aca="false">SUM(B9:E9)</f>
        <v>36</v>
      </c>
      <c r="G9" s="27" t="n">
        <v>36</v>
      </c>
      <c r="H9" s="28" t="n">
        <f aca="false">F9-G9</f>
        <v>0</v>
      </c>
      <c r="I9" s="10" t="s">
        <v>103</v>
      </c>
    </row>
    <row r="10" customFormat="false" ht="15" hidden="false" customHeight="false" outlineLevel="0" collapsed="false">
      <c r="A10" s="7" t="s">
        <v>84</v>
      </c>
      <c r="B10" s="20" t="n">
        <f aca="false">SUM(B5:B9)</f>
        <v>131</v>
      </c>
      <c r="C10" s="20" t="n">
        <f aca="false">SUM(C5:C9)</f>
        <v>131</v>
      </c>
      <c r="D10" s="20" t="n">
        <f aca="false">SUM(D5:D9)</f>
        <v>127.5</v>
      </c>
      <c r="E10" s="20" t="n">
        <f aca="false">SUM(E5:E9)</f>
        <v>127.5</v>
      </c>
      <c r="F10" s="20" t="n">
        <f aca="false">SUM(F5:F9)</f>
        <v>517</v>
      </c>
      <c r="G10" s="20" t="n">
        <f aca="false">SUM(G5:G9)</f>
        <v>516</v>
      </c>
      <c r="H10" s="20" t="n">
        <f aca="false">SUM(H5:H9)</f>
        <v>1</v>
      </c>
      <c r="I10" s="8"/>
    </row>
    <row r="12" customFormat="false" ht="15" hidden="false" customHeight="false" outlineLevel="0" collapsed="false">
      <c r="A12" s="14" t="s">
        <v>104</v>
      </c>
    </row>
    <row r="13" customFormat="false" ht="15" hidden="false" customHeight="true" outlineLevel="0" collapsed="false">
      <c r="A13" s="4" t="s">
        <v>105</v>
      </c>
      <c r="B13" s="12" t="n">
        <f aca="false">F9/4</f>
        <v>9</v>
      </c>
      <c r="C13" s="29" t="s">
        <v>106</v>
      </c>
      <c r="D13" s="29"/>
      <c r="E13" s="29"/>
      <c r="F13" s="29"/>
      <c r="G13" s="29"/>
      <c r="H13" s="29"/>
      <c r="I13" s="29"/>
    </row>
    <row r="14" customFormat="false" ht="15" hidden="false" customHeight="true" outlineLevel="0" collapsed="false">
      <c r="A14" s="4" t="s">
        <v>107</v>
      </c>
      <c r="B14" s="30" t="n">
        <v>4.33333333333333</v>
      </c>
      <c r="C14" s="29" t="s">
        <v>108</v>
      </c>
      <c r="D14" s="29"/>
      <c r="E14" s="29"/>
      <c r="F14" s="29"/>
      <c r="G14" s="29"/>
      <c r="H14" s="29"/>
      <c r="I14" s="29"/>
    </row>
    <row r="15" customFormat="false" ht="15" hidden="false" customHeight="true" outlineLevel="0" collapsed="false">
      <c r="A15" s="4" t="s">
        <v>109</v>
      </c>
      <c r="B15" s="12" t="n">
        <f aca="false">B13*B14</f>
        <v>39</v>
      </c>
      <c r="C15" s="29" t="s">
        <v>110</v>
      </c>
      <c r="D15" s="29"/>
      <c r="E15" s="29"/>
      <c r="F15" s="29"/>
      <c r="G15" s="29"/>
      <c r="H15" s="29"/>
      <c r="I15" s="29"/>
    </row>
    <row r="16" customFormat="false" ht="15" hidden="false" customHeight="true" outlineLevel="0" collapsed="false">
      <c r="A16" s="4" t="s">
        <v>111</v>
      </c>
      <c r="B16" s="13" t="n">
        <v>13.9</v>
      </c>
      <c r="C16" s="29" t="s">
        <v>112</v>
      </c>
      <c r="D16" s="29"/>
      <c r="E16" s="29"/>
      <c r="F16" s="29"/>
      <c r="G16" s="29"/>
      <c r="H16" s="29"/>
      <c r="I16" s="29"/>
    </row>
    <row r="17" customFormat="false" ht="15" hidden="false" customHeight="true" outlineLevel="0" collapsed="false">
      <c r="A17" s="4" t="s">
        <v>113</v>
      </c>
      <c r="B17" s="13" t="n">
        <f aca="false">B15*B16</f>
        <v>542.1</v>
      </c>
      <c r="C17" s="29" t="s">
        <v>114</v>
      </c>
      <c r="D17" s="29"/>
      <c r="E17" s="29"/>
      <c r="F17" s="29"/>
      <c r="G17" s="29"/>
      <c r="H17" s="29"/>
      <c r="I17" s="29"/>
    </row>
    <row r="18" customFormat="false" ht="15" hidden="false" customHeight="true" outlineLevel="0" collapsed="false">
      <c r="A18" s="4" t="s">
        <v>115</v>
      </c>
      <c r="B18" s="13" t="n">
        <v>603</v>
      </c>
      <c r="C18" s="29" t="s">
        <v>116</v>
      </c>
      <c r="D18" s="29"/>
      <c r="E18" s="29"/>
      <c r="F18" s="29"/>
      <c r="G18" s="29"/>
      <c r="H18" s="29"/>
      <c r="I18" s="29"/>
    </row>
    <row r="19" customFormat="false" ht="15" hidden="false" customHeight="true" outlineLevel="0" collapsed="false">
      <c r="A19" s="4" t="s">
        <v>117</v>
      </c>
      <c r="B19" s="13" t="n">
        <f aca="false">B18-B17</f>
        <v>60.9</v>
      </c>
      <c r="C19" s="29" t="s">
        <v>118</v>
      </c>
      <c r="D19" s="29"/>
      <c r="E19" s="29"/>
      <c r="F19" s="29"/>
      <c r="G19" s="29"/>
      <c r="H19" s="29"/>
      <c r="I19" s="29"/>
    </row>
  </sheetData>
  <mergeCells count="7">
    <mergeCell ref="C13:I13"/>
    <mergeCell ref="C14:I14"/>
    <mergeCell ref="C15:I15"/>
    <mergeCell ref="C16:I16"/>
    <mergeCell ref="C17:I17"/>
    <mergeCell ref="C18:I18"/>
    <mergeCell ref="C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9"/>
  </cols>
  <sheetData>
    <row r="1" customFormat="false" ht="64.15" hidden="false" customHeight="false" outlineLevel="0" collapsed="false">
      <c r="A1" s="1" t="s">
        <v>119</v>
      </c>
    </row>
    <row r="2" customFormat="false" ht="95.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3" t="s">
        <v>121</v>
      </c>
      <c r="B4" s="3" t="s">
        <v>6</v>
      </c>
      <c r="C4" s="3" t="s">
        <v>9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18</v>
      </c>
    </row>
    <row r="5" customFormat="false" ht="15" hidden="false" customHeight="false" outlineLevel="0" collapsed="false">
      <c r="A5" s="17" t="s">
        <v>122</v>
      </c>
      <c r="B5" s="31" t="n">
        <v>1</v>
      </c>
      <c r="C5" s="32"/>
      <c r="D5" s="31" t="n">
        <v>1</v>
      </c>
      <c r="E5" s="32"/>
      <c r="F5" s="31" t="n">
        <v>1</v>
      </c>
      <c r="G5" s="32"/>
      <c r="H5" s="32"/>
    </row>
    <row r="6" customFormat="false" ht="15" hidden="false" customHeight="false" outlineLevel="0" collapsed="false">
      <c r="A6" s="17" t="s">
        <v>123</v>
      </c>
      <c r="B6" s="31" t="n">
        <v>1</v>
      </c>
      <c r="C6" s="32"/>
      <c r="D6" s="31" t="n">
        <v>1</v>
      </c>
      <c r="E6" s="32"/>
      <c r="F6" s="31" t="n">
        <v>1</v>
      </c>
      <c r="G6" s="32"/>
      <c r="H6" s="32"/>
    </row>
    <row r="7" customFormat="false" ht="15" hidden="false" customHeight="false" outlineLevel="0" collapsed="false">
      <c r="A7" s="17" t="s">
        <v>124</v>
      </c>
      <c r="B7" s="31" t="n">
        <v>1</v>
      </c>
      <c r="C7" s="32"/>
      <c r="D7" s="31" t="n">
        <v>1</v>
      </c>
      <c r="E7" s="32"/>
      <c r="F7" s="31" t="n">
        <v>1</v>
      </c>
      <c r="G7" s="32"/>
      <c r="H7" s="32"/>
    </row>
    <row r="8" customFormat="false" ht="15" hidden="false" customHeight="false" outlineLevel="0" collapsed="false">
      <c r="A8" s="17" t="s">
        <v>125</v>
      </c>
      <c r="B8" s="31" t="n">
        <v>1</v>
      </c>
      <c r="C8" s="32"/>
      <c r="D8" s="31" t="n">
        <v>1</v>
      </c>
      <c r="E8" s="32"/>
      <c r="F8" s="31" t="n">
        <v>1</v>
      </c>
      <c r="G8" s="32"/>
      <c r="H8" s="32"/>
    </row>
    <row r="9" customFormat="false" ht="15" hidden="false" customHeight="false" outlineLevel="0" collapsed="false">
      <c r="A9" s="17" t="s">
        <v>126</v>
      </c>
      <c r="B9" s="31" t="n">
        <v>1</v>
      </c>
      <c r="C9" s="31" t="n">
        <v>1</v>
      </c>
      <c r="D9" s="31" t="n">
        <v>1</v>
      </c>
      <c r="E9" s="31" t="n">
        <v>1</v>
      </c>
      <c r="F9" s="31" t="n">
        <v>1</v>
      </c>
      <c r="G9" s="32"/>
      <c r="H9" s="32"/>
    </row>
    <row r="10" customFormat="false" ht="15" hidden="false" customHeight="false" outlineLevel="0" collapsed="false">
      <c r="A10" s="17" t="s">
        <v>127</v>
      </c>
      <c r="B10" s="31" t="n">
        <v>1</v>
      </c>
      <c r="C10" s="31" t="n">
        <v>1</v>
      </c>
      <c r="D10" s="31" t="n">
        <v>1</v>
      </c>
      <c r="E10" s="31" t="n">
        <v>1</v>
      </c>
      <c r="F10" s="31" t="n">
        <v>1</v>
      </c>
      <c r="G10" s="32"/>
      <c r="H10" s="32"/>
    </row>
    <row r="11" customFormat="false" ht="15" hidden="false" customHeight="false" outlineLevel="0" collapsed="false">
      <c r="A11" s="17" t="s">
        <v>128</v>
      </c>
      <c r="B11" s="31" t="n">
        <v>1</v>
      </c>
      <c r="C11" s="31" t="n">
        <v>1</v>
      </c>
      <c r="D11" s="31" t="n">
        <v>1</v>
      </c>
      <c r="E11" s="31" t="n">
        <v>1</v>
      </c>
      <c r="F11" s="31" t="n">
        <v>1</v>
      </c>
      <c r="G11" s="31" t="n">
        <v>1</v>
      </c>
      <c r="H11" s="31" t="n">
        <v>1</v>
      </c>
    </row>
    <row r="12" customFormat="false" ht="15" hidden="false" customHeight="false" outlineLevel="0" collapsed="false">
      <c r="A12" s="17" t="s">
        <v>129</v>
      </c>
      <c r="B12" s="31" t="n">
        <v>1</v>
      </c>
      <c r="C12" s="31" t="n">
        <v>1</v>
      </c>
      <c r="D12" s="31" t="n">
        <v>1</v>
      </c>
      <c r="E12" s="31" t="n">
        <v>1</v>
      </c>
      <c r="F12" s="31" t="n">
        <v>1</v>
      </c>
      <c r="G12" s="31" t="n">
        <v>1</v>
      </c>
      <c r="H12" s="31" t="n">
        <v>1</v>
      </c>
    </row>
    <row r="13" customFormat="false" ht="15" hidden="false" customHeight="false" outlineLevel="0" collapsed="false">
      <c r="A13" s="17" t="s">
        <v>130</v>
      </c>
      <c r="B13" s="31" t="n">
        <v>1</v>
      </c>
      <c r="C13" s="31" t="n">
        <v>1</v>
      </c>
      <c r="D13" s="31" t="n">
        <v>1</v>
      </c>
      <c r="E13" s="31" t="n">
        <v>1</v>
      </c>
      <c r="F13" s="31" t="n">
        <v>1</v>
      </c>
      <c r="G13" s="31" t="n">
        <v>1</v>
      </c>
      <c r="H13" s="31" t="n">
        <v>1</v>
      </c>
    </row>
    <row r="14" customFormat="false" ht="15" hidden="false" customHeight="false" outlineLevel="0" collapsed="false">
      <c r="A14" s="17" t="s">
        <v>131</v>
      </c>
      <c r="B14" s="31" t="n">
        <v>1</v>
      </c>
      <c r="C14" s="31" t="n">
        <v>1</v>
      </c>
      <c r="D14" s="31" t="n">
        <v>1</v>
      </c>
      <c r="E14" s="31" t="n">
        <v>1</v>
      </c>
      <c r="F14" s="31" t="n">
        <v>1</v>
      </c>
      <c r="G14" s="31" t="n">
        <v>1</v>
      </c>
      <c r="H14" s="31" t="n">
        <v>1</v>
      </c>
    </row>
    <row r="15" customFormat="false" ht="15" hidden="false" customHeight="false" outlineLevel="0" collapsed="false">
      <c r="A15" s="17" t="s">
        <v>132</v>
      </c>
      <c r="B15" s="31" t="n">
        <v>1</v>
      </c>
      <c r="C15" s="31" t="n">
        <v>1</v>
      </c>
      <c r="D15" s="31" t="n">
        <v>1</v>
      </c>
      <c r="E15" s="31" t="n">
        <v>1</v>
      </c>
      <c r="F15" s="31" t="n">
        <v>1</v>
      </c>
      <c r="G15" s="31" t="n">
        <v>1</v>
      </c>
      <c r="H15" s="31" t="n">
        <v>1</v>
      </c>
    </row>
    <row r="16" customFormat="false" ht="15" hidden="false" customHeight="false" outlineLevel="0" collapsed="false">
      <c r="A16" s="17" t="s">
        <v>133</v>
      </c>
      <c r="B16" s="31" t="n">
        <v>1</v>
      </c>
      <c r="C16" s="31" t="n">
        <v>1</v>
      </c>
      <c r="D16" s="31" t="n">
        <v>1</v>
      </c>
      <c r="E16" s="31" t="n">
        <v>1</v>
      </c>
      <c r="F16" s="31" t="n">
        <v>1</v>
      </c>
      <c r="G16" s="31" t="n">
        <v>1</v>
      </c>
      <c r="H16" s="31" t="n">
        <v>1</v>
      </c>
    </row>
    <row r="17" customFormat="false" ht="15" hidden="false" customHeight="false" outlineLevel="0" collapsed="false">
      <c r="A17" s="17" t="s">
        <v>134</v>
      </c>
      <c r="B17" s="31" t="n">
        <v>1</v>
      </c>
      <c r="C17" s="31" t="n">
        <v>1</v>
      </c>
      <c r="D17" s="31" t="n">
        <v>1</v>
      </c>
      <c r="E17" s="31" t="n">
        <v>1</v>
      </c>
      <c r="F17" s="31" t="n">
        <v>1</v>
      </c>
      <c r="G17" s="31" t="n">
        <v>1</v>
      </c>
      <c r="H17" s="31" t="n">
        <v>1</v>
      </c>
    </row>
    <row r="18" customFormat="false" ht="15" hidden="false" customHeight="false" outlineLevel="0" collapsed="false">
      <c r="A18" s="17" t="s">
        <v>135</v>
      </c>
      <c r="B18" s="31" t="n">
        <v>1</v>
      </c>
      <c r="C18" s="31" t="n">
        <v>1</v>
      </c>
      <c r="D18" s="31" t="n">
        <v>1</v>
      </c>
      <c r="E18" s="31" t="n">
        <v>1</v>
      </c>
      <c r="F18" s="31" t="n">
        <v>1</v>
      </c>
      <c r="G18" s="31" t="n">
        <v>1</v>
      </c>
      <c r="H18" s="31" t="n">
        <v>1</v>
      </c>
    </row>
    <row r="19" customFormat="false" ht="15" hidden="false" customHeight="false" outlineLevel="0" collapsed="false">
      <c r="A19" s="17" t="s">
        <v>136</v>
      </c>
      <c r="B19" s="31" t="n">
        <v>1</v>
      </c>
      <c r="C19" s="31" t="n">
        <v>1</v>
      </c>
      <c r="D19" s="31" t="n">
        <v>1</v>
      </c>
      <c r="E19" s="31" t="n">
        <v>1</v>
      </c>
      <c r="F19" s="31" t="n">
        <v>1</v>
      </c>
      <c r="G19" s="31" t="n">
        <v>1</v>
      </c>
      <c r="H19" s="31" t="n">
        <v>1</v>
      </c>
    </row>
    <row r="20" customFormat="false" ht="15" hidden="false" customHeight="false" outlineLevel="0" collapsed="false">
      <c r="A20" s="17" t="s">
        <v>137</v>
      </c>
      <c r="B20" s="33" t="n">
        <v>2</v>
      </c>
      <c r="C20" s="31" t="n">
        <v>1</v>
      </c>
      <c r="D20" s="33" t="n">
        <v>2</v>
      </c>
      <c r="E20" s="31" t="n">
        <v>1</v>
      </c>
      <c r="F20" s="33" t="n">
        <v>2</v>
      </c>
      <c r="G20" s="31" t="n">
        <v>1</v>
      </c>
      <c r="H20" s="31" t="n">
        <v>1</v>
      </c>
    </row>
    <row r="21" customFormat="false" ht="15" hidden="false" customHeight="false" outlineLevel="0" collapsed="false">
      <c r="A21" s="17" t="s">
        <v>138</v>
      </c>
      <c r="B21" s="33" t="n">
        <v>2</v>
      </c>
      <c r="C21" s="31" t="n">
        <v>1</v>
      </c>
      <c r="D21" s="33" t="n">
        <v>2</v>
      </c>
      <c r="E21" s="31" t="n">
        <v>1</v>
      </c>
      <c r="F21" s="33" t="n">
        <v>2</v>
      </c>
      <c r="G21" s="31" t="n">
        <v>1</v>
      </c>
      <c r="H21" s="31" t="n">
        <v>1</v>
      </c>
    </row>
    <row r="22" customFormat="false" ht="15" hidden="false" customHeight="false" outlineLevel="0" collapsed="false">
      <c r="A22" s="17" t="s">
        <v>139</v>
      </c>
      <c r="B22" s="31" t="n">
        <v>1</v>
      </c>
      <c r="C22" s="31" t="n">
        <v>1</v>
      </c>
      <c r="D22" s="31" t="n">
        <v>1</v>
      </c>
      <c r="E22" s="31" t="n">
        <v>1</v>
      </c>
      <c r="F22" s="31" t="n">
        <v>1</v>
      </c>
      <c r="G22" s="31" t="n">
        <v>1</v>
      </c>
      <c r="H22" s="31" t="n">
        <v>1</v>
      </c>
    </row>
    <row r="23" customFormat="false" ht="15" hidden="false" customHeight="false" outlineLevel="0" collapsed="false">
      <c r="A23" s="17" t="s">
        <v>140</v>
      </c>
      <c r="B23" s="31" t="n">
        <v>1</v>
      </c>
      <c r="C23" s="31" t="n">
        <v>1</v>
      </c>
      <c r="D23" s="31" t="n">
        <v>1</v>
      </c>
      <c r="E23" s="31" t="n">
        <v>1</v>
      </c>
      <c r="F23" s="31" t="n">
        <v>1</v>
      </c>
      <c r="G23" s="31" t="n">
        <v>1</v>
      </c>
      <c r="H23" s="31" t="n">
        <v>1</v>
      </c>
    </row>
    <row r="24" customFormat="false" ht="15" hidden="false" customHeight="false" outlineLevel="0" collapsed="false">
      <c r="A24" s="17" t="s">
        <v>141</v>
      </c>
      <c r="B24" s="31" t="n">
        <v>1</v>
      </c>
      <c r="C24" s="33" t="n">
        <v>2</v>
      </c>
      <c r="D24" s="31" t="n">
        <v>1</v>
      </c>
      <c r="E24" s="33" t="n">
        <v>2</v>
      </c>
      <c r="F24" s="31" t="n">
        <v>1</v>
      </c>
      <c r="G24" s="31" t="n">
        <v>1</v>
      </c>
      <c r="H24" s="31" t="n">
        <v>1</v>
      </c>
    </row>
    <row r="25" customFormat="false" ht="15" hidden="false" customHeight="false" outlineLevel="0" collapsed="false">
      <c r="A25" s="17" t="s">
        <v>142</v>
      </c>
      <c r="B25" s="31" t="n">
        <v>1</v>
      </c>
      <c r="C25" s="33" t="n">
        <v>2</v>
      </c>
      <c r="D25" s="31" t="n">
        <v>1</v>
      </c>
      <c r="E25" s="33" t="n">
        <v>2</v>
      </c>
      <c r="F25" s="31" t="n">
        <v>1</v>
      </c>
      <c r="G25" s="31" t="n">
        <v>1</v>
      </c>
      <c r="H25" s="31" t="n">
        <v>1</v>
      </c>
    </row>
    <row r="26" customFormat="false" ht="15" hidden="false" customHeight="false" outlineLevel="0" collapsed="false">
      <c r="A26" s="17" t="s">
        <v>143</v>
      </c>
      <c r="B26" s="33" t="n">
        <v>2</v>
      </c>
      <c r="C26" s="31" t="n">
        <v>1</v>
      </c>
      <c r="D26" s="33" t="n">
        <v>2</v>
      </c>
      <c r="E26" s="31" t="n">
        <v>1</v>
      </c>
      <c r="F26" s="33" t="n">
        <v>2</v>
      </c>
      <c r="G26" s="31" t="n">
        <v>1</v>
      </c>
      <c r="H26" s="31" t="n">
        <v>1</v>
      </c>
    </row>
    <row r="27" customFormat="false" ht="15" hidden="false" customHeight="false" outlineLevel="0" collapsed="false">
      <c r="A27" s="17" t="s">
        <v>144</v>
      </c>
      <c r="B27" s="33" t="n">
        <v>2</v>
      </c>
      <c r="C27" s="31" t="n">
        <v>1</v>
      </c>
      <c r="D27" s="33" t="n">
        <v>2</v>
      </c>
      <c r="E27" s="31" t="n">
        <v>1</v>
      </c>
      <c r="F27" s="33" t="n">
        <v>2</v>
      </c>
      <c r="G27" s="31" t="n">
        <v>1</v>
      </c>
      <c r="H27" s="31" t="n">
        <v>1</v>
      </c>
    </row>
    <row r="28" customFormat="false" ht="15" hidden="false" customHeight="false" outlineLevel="0" collapsed="false">
      <c r="A28" s="17" t="s">
        <v>145</v>
      </c>
      <c r="B28" s="33" t="n">
        <v>2</v>
      </c>
      <c r="C28" s="33" t="n">
        <v>2</v>
      </c>
      <c r="D28" s="33" t="n">
        <v>2</v>
      </c>
      <c r="E28" s="33" t="n">
        <v>2</v>
      </c>
      <c r="F28" s="33" t="n">
        <v>2</v>
      </c>
      <c r="G28" s="31" t="n">
        <v>1</v>
      </c>
      <c r="H28" s="31" t="n">
        <v>1</v>
      </c>
    </row>
    <row r="29" customFormat="false" ht="15" hidden="false" customHeight="false" outlineLevel="0" collapsed="false">
      <c r="A29" s="17" t="s">
        <v>146</v>
      </c>
      <c r="B29" s="33" t="n">
        <v>2</v>
      </c>
      <c r="C29" s="33" t="n">
        <v>2</v>
      </c>
      <c r="D29" s="33" t="n">
        <v>2</v>
      </c>
      <c r="E29" s="33" t="n">
        <v>2</v>
      </c>
      <c r="F29" s="33" t="n">
        <v>2</v>
      </c>
      <c r="G29" s="31" t="n">
        <v>1</v>
      </c>
      <c r="H29" s="31" t="n">
        <v>1</v>
      </c>
    </row>
    <row r="30" customFormat="false" ht="15" hidden="false" customHeight="false" outlineLevel="0" collapsed="false">
      <c r="A30" s="17" t="s">
        <v>147</v>
      </c>
      <c r="B30" s="33" t="n">
        <v>2</v>
      </c>
      <c r="C30" s="33" t="n">
        <v>2</v>
      </c>
      <c r="D30" s="33" t="n">
        <v>2</v>
      </c>
      <c r="E30" s="33" t="n">
        <v>2</v>
      </c>
      <c r="F30" s="33" t="n">
        <v>2</v>
      </c>
      <c r="G30" s="31" t="n">
        <v>1</v>
      </c>
      <c r="H30" s="31" t="n">
        <v>1</v>
      </c>
    </row>
    <row r="31" customFormat="false" ht="15" hidden="false" customHeight="false" outlineLevel="0" collapsed="false">
      <c r="A31" s="17" t="s">
        <v>148</v>
      </c>
      <c r="B31" s="33" t="n">
        <v>2</v>
      </c>
      <c r="C31" s="33" t="n">
        <v>2</v>
      </c>
      <c r="D31" s="33" t="n">
        <v>2</v>
      </c>
      <c r="E31" s="33" t="n">
        <v>2</v>
      </c>
      <c r="F31" s="33" t="n">
        <v>2</v>
      </c>
      <c r="G31" s="31" t="n">
        <v>1</v>
      </c>
      <c r="H31" s="31" t="n">
        <v>1</v>
      </c>
    </row>
    <row r="32" customFormat="false" ht="15" hidden="false" customHeight="false" outlineLevel="0" collapsed="false">
      <c r="A32" s="17" t="s">
        <v>149</v>
      </c>
      <c r="B32" s="33" t="n">
        <v>2</v>
      </c>
      <c r="C32" s="33" t="n">
        <v>2</v>
      </c>
      <c r="D32" s="33" t="n">
        <v>2</v>
      </c>
      <c r="E32" s="33" t="n">
        <v>2</v>
      </c>
      <c r="F32" s="33" t="n">
        <v>2</v>
      </c>
      <c r="G32" s="31" t="n">
        <v>1</v>
      </c>
      <c r="H32" s="31" t="n">
        <v>1</v>
      </c>
    </row>
    <row r="33" customFormat="false" ht="15" hidden="false" customHeight="false" outlineLevel="0" collapsed="false">
      <c r="A33" s="17" t="s">
        <v>150</v>
      </c>
      <c r="B33" s="33" t="n">
        <v>2</v>
      </c>
      <c r="C33" s="33" t="n">
        <v>2</v>
      </c>
      <c r="D33" s="33" t="n">
        <v>2</v>
      </c>
      <c r="E33" s="33" t="n">
        <v>2</v>
      </c>
      <c r="F33" s="33" t="n">
        <v>2</v>
      </c>
      <c r="G33" s="32"/>
      <c r="H33" s="32"/>
    </row>
    <row r="34" customFormat="false" ht="15" hidden="false" customHeight="false" outlineLevel="0" collapsed="false">
      <c r="A34" s="17" t="s">
        <v>151</v>
      </c>
      <c r="B34" s="33" t="n">
        <v>2</v>
      </c>
      <c r="C34" s="33" t="n">
        <v>2</v>
      </c>
      <c r="D34" s="33" t="n">
        <v>2</v>
      </c>
      <c r="E34" s="33" t="n">
        <v>2</v>
      </c>
      <c r="F34" s="33" t="n">
        <v>2</v>
      </c>
      <c r="G34" s="32"/>
      <c r="H34" s="32"/>
    </row>
    <row r="35" customFormat="false" ht="15" hidden="false" customHeight="false" outlineLevel="0" collapsed="false">
      <c r="A35" s="17" t="s">
        <v>152</v>
      </c>
      <c r="B35" s="31" t="n">
        <v>1</v>
      </c>
      <c r="C35" s="33" t="n">
        <v>2</v>
      </c>
      <c r="D35" s="31" t="n">
        <v>1</v>
      </c>
      <c r="E35" s="33" t="n">
        <v>2</v>
      </c>
      <c r="F35" s="31" t="n">
        <v>1</v>
      </c>
      <c r="G35" s="32"/>
      <c r="H35" s="32"/>
    </row>
    <row r="36" customFormat="false" ht="15" hidden="false" customHeight="false" outlineLevel="0" collapsed="false">
      <c r="A36" s="17" t="s">
        <v>153</v>
      </c>
      <c r="B36" s="31" t="n">
        <v>1</v>
      </c>
      <c r="C36" s="33" t="n">
        <v>2</v>
      </c>
      <c r="D36" s="31" t="n">
        <v>1</v>
      </c>
      <c r="E36" s="33" t="n">
        <v>2</v>
      </c>
      <c r="F36" s="31" t="n">
        <v>1</v>
      </c>
      <c r="G36" s="32"/>
      <c r="H36" s="32"/>
    </row>
    <row r="37" customFormat="false" ht="15" hidden="false" customHeight="false" outlineLevel="0" collapsed="false">
      <c r="A37" s="17" t="s">
        <v>154</v>
      </c>
      <c r="B37" s="32"/>
      <c r="C37" s="31" t="n">
        <v>1</v>
      </c>
      <c r="D37" s="32"/>
      <c r="E37" s="31" t="n">
        <v>1</v>
      </c>
      <c r="F37" s="32"/>
      <c r="G37" s="32"/>
      <c r="H37" s="32"/>
    </row>
    <row r="38" customFormat="false" ht="15" hidden="false" customHeight="false" outlineLevel="0" collapsed="false">
      <c r="A38" s="17" t="s">
        <v>155</v>
      </c>
      <c r="B38" s="32"/>
      <c r="C38" s="31" t="n">
        <v>1</v>
      </c>
      <c r="D38" s="32"/>
      <c r="E38" s="31" t="n">
        <v>1</v>
      </c>
      <c r="F38" s="32"/>
      <c r="G38" s="32"/>
      <c r="H38" s="32"/>
    </row>
    <row r="39" customFormat="false" ht="15" hidden="false" customHeight="false" outlineLevel="0" collapsed="false">
      <c r="A39" s="17" t="s">
        <v>156</v>
      </c>
      <c r="B39" s="32"/>
      <c r="C39" s="31" t="n">
        <v>1</v>
      </c>
      <c r="D39" s="32"/>
      <c r="E39" s="31" t="n">
        <v>1</v>
      </c>
      <c r="F39" s="32"/>
      <c r="G39" s="32"/>
      <c r="H39" s="32"/>
    </row>
    <row r="40" customFormat="false" ht="15" hidden="false" customHeight="false" outlineLevel="0" collapsed="false">
      <c r="A40" s="17" t="s">
        <v>157</v>
      </c>
      <c r="B40" s="32"/>
      <c r="C40" s="31" t="n">
        <v>1</v>
      </c>
      <c r="D40" s="32"/>
      <c r="E40" s="31" t="n">
        <v>1</v>
      </c>
      <c r="F40" s="32"/>
      <c r="G40" s="32"/>
      <c r="H40" s="32"/>
    </row>
    <row r="42" customFormat="false" ht="64.15" hidden="false" customHeight="false" outlineLevel="0" collapsed="false">
      <c r="A42" s="2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5" min="3" style="0" width="18"/>
    <col collapsed="false" customWidth="true" hidden="false" outlineLevel="0" max="6" min="6" style="0" width="12"/>
  </cols>
  <sheetData>
    <row r="1" customFormat="false" ht="32.8" hidden="false" customHeight="false" outlineLevel="0" collapsed="false">
      <c r="A1" s="1" t="s">
        <v>159</v>
      </c>
    </row>
    <row r="2" customFormat="false" ht="74.6" hidden="false" customHeight="false" outlineLevel="0" collapsed="false">
      <c r="A2" s="2" t="s">
        <v>160</v>
      </c>
    </row>
    <row r="4" customFormat="false" ht="15" hidden="false" customHeight="false" outlineLevel="0" collapsed="false">
      <c r="A4" s="3" t="s">
        <v>161</v>
      </c>
      <c r="B4" s="3" t="s">
        <v>162</v>
      </c>
      <c r="C4" s="3" t="s">
        <v>163</v>
      </c>
      <c r="D4" s="3" t="s">
        <v>164</v>
      </c>
      <c r="E4" s="3" t="s">
        <v>165</v>
      </c>
      <c r="F4" s="3" t="s">
        <v>166</v>
      </c>
    </row>
    <row r="5" customFormat="false" ht="15" hidden="false" customHeight="false" outlineLevel="0" collapsed="false">
      <c r="A5" s="34" t="s">
        <v>167</v>
      </c>
      <c r="B5" s="11" t="s">
        <v>168</v>
      </c>
      <c r="C5" s="35" t="s">
        <v>169</v>
      </c>
      <c r="D5" s="35" t="s">
        <v>170</v>
      </c>
      <c r="E5" s="35" t="s">
        <v>171</v>
      </c>
      <c r="F5" s="36" t="n">
        <v>8</v>
      </c>
    </row>
    <row r="6" customFormat="false" ht="15" hidden="false" customHeight="false" outlineLevel="0" collapsed="false">
      <c r="A6" s="37" t="s">
        <v>172</v>
      </c>
      <c r="B6" s="11" t="s">
        <v>173</v>
      </c>
      <c r="C6" s="35" t="s">
        <v>174</v>
      </c>
      <c r="D6" s="35" t="s">
        <v>175</v>
      </c>
      <c r="E6" s="35" t="s">
        <v>171</v>
      </c>
      <c r="F6" s="36" t="n">
        <v>8</v>
      </c>
    </row>
    <row r="7" customFormat="false" ht="15" hidden="false" customHeight="false" outlineLevel="0" collapsed="false">
      <c r="A7" s="38" t="s">
        <v>176</v>
      </c>
      <c r="B7" s="11" t="s">
        <v>177</v>
      </c>
      <c r="C7" s="35" t="s">
        <v>178</v>
      </c>
      <c r="D7" s="35" t="s">
        <v>179</v>
      </c>
      <c r="E7" s="35" t="s">
        <v>171</v>
      </c>
      <c r="F7" s="36" t="n">
        <v>4.5</v>
      </c>
    </row>
    <row r="8" customFormat="false" ht="15" hidden="false" customHeight="false" outlineLevel="0" collapsed="false">
      <c r="A8" s="39" t="s">
        <v>180</v>
      </c>
      <c r="B8" s="11" t="s">
        <v>181</v>
      </c>
      <c r="C8" s="35" t="s">
        <v>171</v>
      </c>
      <c r="D8" s="35" t="s">
        <v>171</v>
      </c>
      <c r="E8" s="35" t="s">
        <v>182</v>
      </c>
      <c r="F8" s="36" t="n">
        <v>10</v>
      </c>
    </row>
    <row r="10" customFormat="false" ht="35.05" hidden="false" customHeight="false" outlineLevel="0" collapsed="false">
      <c r="A10" s="40" t="s">
        <v>183</v>
      </c>
    </row>
    <row r="11" customFormat="false" ht="15" hidden="false" customHeight="false" outlineLevel="0" collapsed="false">
      <c r="A11" s="3" t="s">
        <v>161</v>
      </c>
      <c r="B11" s="3" t="s">
        <v>184</v>
      </c>
      <c r="C11" s="3" t="s">
        <v>185</v>
      </c>
      <c r="D11" s="3"/>
      <c r="E11" s="3"/>
      <c r="F11" s="3" t="s">
        <v>186</v>
      </c>
    </row>
    <row r="12" customFormat="false" ht="27.75" hidden="false" customHeight="true" outlineLevel="0" collapsed="false">
      <c r="A12" s="41" t="s">
        <v>187</v>
      </c>
      <c r="B12" s="11" t="s">
        <v>188</v>
      </c>
      <c r="C12" s="29" t="s">
        <v>189</v>
      </c>
      <c r="D12" s="29"/>
      <c r="E12" s="29"/>
      <c r="F12" s="36" t="n">
        <v>1</v>
      </c>
    </row>
    <row r="13" customFormat="false" ht="27.75" hidden="false" customHeight="true" outlineLevel="0" collapsed="false">
      <c r="A13" s="41" t="s">
        <v>190</v>
      </c>
      <c r="B13" s="11" t="s">
        <v>191</v>
      </c>
      <c r="C13" s="29" t="s">
        <v>192</v>
      </c>
      <c r="D13" s="29"/>
      <c r="E13" s="29"/>
      <c r="F13" s="36" t="n">
        <v>1.5</v>
      </c>
    </row>
    <row r="14" customFormat="false" ht="27.75" hidden="false" customHeight="true" outlineLevel="0" collapsed="false">
      <c r="A14" s="41" t="s">
        <v>193</v>
      </c>
      <c r="B14" s="11" t="s">
        <v>194</v>
      </c>
      <c r="C14" s="29" t="s">
        <v>195</v>
      </c>
      <c r="D14" s="29"/>
      <c r="E14" s="29"/>
      <c r="F14" s="36" t="n">
        <v>3.5</v>
      </c>
    </row>
    <row r="17" customFormat="false" ht="39.55" hidden="false" customHeight="false" outlineLevel="0" collapsed="false">
      <c r="A17" s="14" t="s">
        <v>196</v>
      </c>
    </row>
    <row r="18" customFormat="false" ht="30" hidden="false" customHeight="true" outlineLevel="0" collapsed="false">
      <c r="A18" s="15" t="s">
        <v>51</v>
      </c>
      <c r="B18" s="16" t="s">
        <v>197</v>
      </c>
      <c r="C18" s="16"/>
      <c r="D18" s="16"/>
      <c r="E18" s="16"/>
      <c r="F18" s="16"/>
    </row>
    <row r="19" customFormat="false" ht="30" hidden="false" customHeight="true" outlineLevel="0" collapsed="false">
      <c r="A19" s="15" t="s">
        <v>51</v>
      </c>
      <c r="B19" s="16" t="s">
        <v>198</v>
      </c>
      <c r="C19" s="16"/>
      <c r="D19" s="16"/>
      <c r="E19" s="16"/>
      <c r="F19" s="16"/>
    </row>
    <row r="20" customFormat="false" ht="30" hidden="false" customHeight="true" outlineLevel="0" collapsed="false">
      <c r="A20" s="15" t="s">
        <v>51</v>
      </c>
      <c r="B20" s="16" t="s">
        <v>199</v>
      </c>
      <c r="C20" s="16"/>
      <c r="D20" s="16"/>
      <c r="E20" s="16"/>
      <c r="F20" s="16"/>
    </row>
    <row r="21" customFormat="false" ht="30" hidden="false" customHeight="true" outlineLevel="0" collapsed="false">
      <c r="A21" s="15" t="s">
        <v>51</v>
      </c>
      <c r="B21" s="16" t="s">
        <v>200</v>
      </c>
      <c r="C21" s="16"/>
      <c r="D21" s="16"/>
      <c r="E21" s="16"/>
      <c r="F21" s="16"/>
    </row>
    <row r="22" customFormat="false" ht="30" hidden="false" customHeight="true" outlineLevel="0" collapsed="false">
      <c r="A22" s="15" t="s">
        <v>51</v>
      </c>
      <c r="B22" s="16" t="s">
        <v>201</v>
      </c>
      <c r="C22" s="16"/>
      <c r="D22" s="16"/>
      <c r="E22" s="16"/>
      <c r="F22" s="16"/>
    </row>
    <row r="23" customFormat="false" ht="30" hidden="false" customHeight="true" outlineLevel="0" collapsed="false">
      <c r="A23" s="15" t="s">
        <v>51</v>
      </c>
      <c r="B23" s="16" t="s">
        <v>202</v>
      </c>
      <c r="C23" s="16"/>
      <c r="D23" s="16"/>
      <c r="E23" s="16"/>
      <c r="F23" s="16"/>
    </row>
  </sheetData>
  <mergeCells count="9">
    <mergeCell ref="C12:E12"/>
    <mergeCell ref="C13:E13"/>
    <mergeCell ref="C14:E14"/>
    <mergeCell ref="B18:F18"/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2026-08-12T09:24:44Z</dcterms:created>
  <dc:creator>openpyxl</dc:creator>
  <dc:description/>
  <dc:language>en-US</dc:language>
  <cp:lastModifiedBy/>
  <dcterms:modified xsi:type="dcterms:W3CDTF">2026-08-12T09:24:44Z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